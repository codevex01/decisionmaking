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ykuodabas/Desktop/"/>
    </mc:Choice>
  </mc:AlternateContent>
  <xr:revisionPtr revIDLastSave="0" documentId="8_{3869C3D8-725A-384D-BD39-03BCCE18D29B}" xr6:coauthVersionLast="47" xr6:coauthVersionMax="47" xr10:uidLastSave="{00000000-0000-0000-0000-000000000000}"/>
  <bookViews>
    <workbookView xWindow="0" yWindow="500" windowWidth="33600" windowHeight="18860" xr2:uid="{DBE9B50F-5B4E-D741-BD10-16027976ADA2}"/>
  </bookViews>
  <sheets>
    <sheet name="Wenslo-Artas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0" i="1" l="1"/>
  <c r="C65" i="1" s="1"/>
  <c r="C94" i="1"/>
  <c r="C93" i="1"/>
  <c r="P23" i="1" l="1"/>
  <c r="P19" i="1"/>
  <c r="P20" i="1"/>
  <c r="P21" i="1"/>
  <c r="P22" i="1"/>
  <c r="P24" i="1"/>
  <c r="P25" i="1"/>
  <c r="O19" i="1"/>
  <c r="O20" i="1"/>
  <c r="O21" i="1"/>
  <c r="O22" i="1"/>
  <c r="O23" i="1"/>
  <c r="O24" i="1"/>
  <c r="O25" i="1"/>
  <c r="N19" i="1"/>
  <c r="N20" i="1"/>
  <c r="N21" i="1"/>
  <c r="N22" i="1"/>
  <c r="N23" i="1"/>
  <c r="N24" i="1"/>
  <c r="N25" i="1"/>
  <c r="M18" i="1"/>
  <c r="M19" i="1"/>
  <c r="M20" i="1"/>
  <c r="M21" i="1"/>
  <c r="M22" i="1"/>
  <c r="M23" i="1"/>
  <c r="M24" i="1"/>
  <c r="M25" i="1"/>
  <c r="L18" i="1"/>
  <c r="L19" i="1"/>
  <c r="L20" i="1"/>
  <c r="L21" i="1"/>
  <c r="L22" i="1"/>
  <c r="L23" i="1"/>
  <c r="L24" i="1"/>
  <c r="L25" i="1"/>
  <c r="K19" i="1"/>
  <c r="K20" i="1"/>
  <c r="K21" i="1"/>
  <c r="K22" i="1"/>
  <c r="K23" i="1"/>
  <c r="K24" i="1"/>
  <c r="K25" i="1"/>
  <c r="J19" i="1"/>
  <c r="J20" i="1"/>
  <c r="J21" i="1"/>
  <c r="J22" i="1"/>
  <c r="J23" i="1"/>
  <c r="J24" i="1"/>
  <c r="J25" i="1"/>
  <c r="I19" i="1"/>
  <c r="I20" i="1"/>
  <c r="I21" i="1"/>
  <c r="I22" i="1"/>
  <c r="I23" i="1"/>
  <c r="I24" i="1"/>
  <c r="I25" i="1"/>
  <c r="H19" i="1"/>
  <c r="H20" i="1"/>
  <c r="H21" i="1"/>
  <c r="H22" i="1"/>
  <c r="H23" i="1"/>
  <c r="H24" i="1"/>
  <c r="H25" i="1"/>
  <c r="G19" i="1"/>
  <c r="G20" i="1"/>
  <c r="G21" i="1"/>
  <c r="G22" i="1"/>
  <c r="G23" i="1"/>
  <c r="G24" i="1"/>
  <c r="G25" i="1"/>
  <c r="F19" i="1"/>
  <c r="F20" i="1"/>
  <c r="F21" i="1"/>
  <c r="F22" i="1"/>
  <c r="F23" i="1"/>
  <c r="F24" i="1"/>
  <c r="F25" i="1"/>
  <c r="E19" i="1"/>
  <c r="E20" i="1"/>
  <c r="E21" i="1"/>
  <c r="E22" i="1"/>
  <c r="E23" i="1"/>
  <c r="E24" i="1"/>
  <c r="E25" i="1"/>
  <c r="D25" i="1"/>
  <c r="D19" i="1"/>
  <c r="D20" i="1"/>
  <c r="D21" i="1"/>
  <c r="D22" i="1"/>
  <c r="D23" i="1"/>
  <c r="D24" i="1"/>
  <c r="D18" i="1"/>
  <c r="E18" i="1"/>
  <c r="F18" i="1"/>
  <c r="G18" i="1"/>
  <c r="H18" i="1"/>
  <c r="I18" i="1"/>
  <c r="J18" i="1"/>
  <c r="K18" i="1"/>
  <c r="N18" i="1"/>
  <c r="O18" i="1"/>
  <c r="P18" i="1"/>
  <c r="P31" i="1" s="1"/>
  <c r="C19" i="1"/>
  <c r="C20" i="1"/>
  <c r="C21" i="1"/>
  <c r="C22" i="1"/>
  <c r="C23" i="1"/>
  <c r="C24" i="1"/>
  <c r="C25" i="1"/>
  <c r="C18" i="1"/>
  <c r="C30" i="1" s="1"/>
  <c r="P93" i="1"/>
  <c r="K30" i="1" l="1"/>
  <c r="E30" i="1"/>
  <c r="D30" i="1"/>
  <c r="L31" i="1"/>
  <c r="J30" i="1"/>
  <c r="F30" i="1"/>
  <c r="H30" i="1"/>
  <c r="O31" i="1"/>
  <c r="N30" i="1"/>
  <c r="M30" i="1"/>
  <c r="L30" i="1"/>
  <c r="I30" i="1"/>
  <c r="G30" i="1"/>
  <c r="P30" i="1"/>
  <c r="C31" i="1"/>
  <c r="C36" i="1" s="1"/>
  <c r="G31" i="1"/>
  <c r="O30" i="1"/>
  <c r="N31" i="1"/>
  <c r="F31" i="1"/>
  <c r="M31" i="1"/>
  <c r="E31" i="1"/>
  <c r="D31" i="1"/>
  <c r="K31" i="1"/>
  <c r="J31" i="1"/>
  <c r="I31" i="1"/>
  <c r="H31" i="1"/>
  <c r="L94" i="1"/>
  <c r="M94" i="1"/>
  <c r="N94" i="1"/>
  <c r="O94" i="1"/>
  <c r="P94" i="1"/>
  <c r="L93" i="1"/>
  <c r="M93" i="1"/>
  <c r="N93" i="1"/>
  <c r="O93" i="1"/>
  <c r="F90" i="1"/>
  <c r="D94" i="1"/>
  <c r="E94" i="1"/>
  <c r="F94" i="1"/>
  <c r="G94" i="1"/>
  <c r="H94" i="1"/>
  <c r="I94" i="1"/>
  <c r="J94" i="1"/>
  <c r="K94" i="1"/>
  <c r="D93" i="1"/>
  <c r="E93" i="1"/>
  <c r="F93" i="1"/>
  <c r="G93" i="1"/>
  <c r="H93" i="1"/>
  <c r="I93" i="1"/>
  <c r="J93" i="1"/>
  <c r="K93" i="1"/>
  <c r="C96" i="1" l="1"/>
  <c r="C97" i="1"/>
  <c r="P96" i="1"/>
  <c r="N97" i="1"/>
  <c r="L97" i="1"/>
  <c r="M96" i="1"/>
  <c r="L96" i="1"/>
  <c r="P97" i="1"/>
  <c r="O97" i="1"/>
  <c r="M97" i="1"/>
  <c r="O96" i="1"/>
  <c r="N96" i="1"/>
  <c r="J96" i="1"/>
  <c r="K97" i="1"/>
  <c r="K96" i="1"/>
  <c r="D97" i="1"/>
  <c r="H96" i="1"/>
  <c r="I97" i="1"/>
  <c r="H97" i="1"/>
  <c r="G97" i="1"/>
  <c r="I96" i="1"/>
  <c r="J97" i="1"/>
  <c r="G96" i="1"/>
  <c r="F96" i="1"/>
  <c r="E96" i="1"/>
  <c r="F97" i="1"/>
  <c r="D96" i="1"/>
  <c r="E97" i="1"/>
  <c r="O104" i="1" l="1"/>
  <c r="C103" i="1"/>
  <c r="P36" i="1"/>
  <c r="P37" i="1" s="1"/>
  <c r="P49" i="1" s="1"/>
  <c r="N104" i="1"/>
  <c r="L105" i="1"/>
  <c r="L103" i="1"/>
  <c r="L107" i="1"/>
  <c r="L110" i="1"/>
  <c r="P103" i="1"/>
  <c r="L109" i="1"/>
  <c r="N110" i="1"/>
  <c r="M108" i="1"/>
  <c r="O36" i="1"/>
  <c r="O37" i="1" s="1"/>
  <c r="O49" i="1" s="1"/>
  <c r="N107" i="1"/>
  <c r="M104" i="1"/>
  <c r="M103" i="1"/>
  <c r="M106" i="1"/>
  <c r="L106" i="1"/>
  <c r="L104" i="1"/>
  <c r="O106" i="1"/>
  <c r="F103" i="1"/>
  <c r="O110" i="1"/>
  <c r="M110" i="1"/>
  <c r="O105" i="1"/>
  <c r="P110" i="1"/>
  <c r="M109" i="1"/>
  <c r="P108" i="1"/>
  <c r="M105" i="1"/>
  <c r="O109" i="1"/>
  <c r="P105" i="1"/>
  <c r="O108" i="1"/>
  <c r="P104" i="1"/>
  <c r="L108" i="1"/>
  <c r="M107" i="1"/>
  <c r="O103" i="1"/>
  <c r="N106" i="1"/>
  <c r="N109" i="1"/>
  <c r="P109" i="1"/>
  <c r="J110" i="1"/>
  <c r="K108" i="1"/>
  <c r="M36" i="1"/>
  <c r="M37" i="1" s="1"/>
  <c r="M49" i="1" s="1"/>
  <c r="N108" i="1"/>
  <c r="O107" i="1"/>
  <c r="P107" i="1"/>
  <c r="N103" i="1"/>
  <c r="N105" i="1"/>
  <c r="P106" i="1"/>
  <c r="K105" i="1"/>
  <c r="K103" i="1"/>
  <c r="N36" i="1"/>
  <c r="N37" i="1" s="1"/>
  <c r="K104" i="1"/>
  <c r="H108" i="1"/>
  <c r="L36" i="1"/>
  <c r="L37" i="1" s="1"/>
  <c r="L53" i="1" s="1"/>
  <c r="P51" i="1"/>
  <c r="K109" i="1"/>
  <c r="K107" i="1"/>
  <c r="K110" i="1"/>
  <c r="C42" i="1"/>
  <c r="K106" i="1"/>
  <c r="H36" i="1"/>
  <c r="H107" i="1"/>
  <c r="H106" i="1"/>
  <c r="H104" i="1"/>
  <c r="H105" i="1"/>
  <c r="J105" i="1"/>
  <c r="J109" i="1"/>
  <c r="J104" i="1"/>
  <c r="J106" i="1"/>
  <c r="H110" i="1"/>
  <c r="J103" i="1"/>
  <c r="H109" i="1"/>
  <c r="H103" i="1"/>
  <c r="F108" i="1"/>
  <c r="F107" i="1"/>
  <c r="F109" i="1"/>
  <c r="F110" i="1"/>
  <c r="F106" i="1"/>
  <c r="F105" i="1"/>
  <c r="F104" i="1"/>
  <c r="C104" i="1"/>
  <c r="C107" i="1"/>
  <c r="C105" i="1"/>
  <c r="C106" i="1"/>
  <c r="C108" i="1"/>
  <c r="C109" i="1"/>
  <c r="C110" i="1"/>
  <c r="G108" i="1"/>
  <c r="G109" i="1"/>
  <c r="G106" i="1"/>
  <c r="G110" i="1"/>
  <c r="G104" i="1"/>
  <c r="G105" i="1"/>
  <c r="G103" i="1"/>
  <c r="G107" i="1"/>
  <c r="D108" i="1"/>
  <c r="D107" i="1"/>
  <c r="D109" i="1"/>
  <c r="D106" i="1"/>
  <c r="D103" i="1"/>
  <c r="D110" i="1"/>
  <c r="D104" i="1"/>
  <c r="D105" i="1"/>
  <c r="E108" i="1"/>
  <c r="E104" i="1"/>
  <c r="E109" i="1"/>
  <c r="E103" i="1"/>
  <c r="E105" i="1"/>
  <c r="E107" i="1"/>
  <c r="E110" i="1"/>
  <c r="E106" i="1"/>
  <c r="J107" i="1"/>
  <c r="I108" i="1"/>
  <c r="I103" i="1"/>
  <c r="I107" i="1"/>
  <c r="I109" i="1"/>
  <c r="I110" i="1"/>
  <c r="I104" i="1"/>
  <c r="I106" i="1"/>
  <c r="I105" i="1"/>
  <c r="J108" i="1"/>
  <c r="J36" i="1"/>
  <c r="J37" i="1" s="1"/>
  <c r="K36" i="1"/>
  <c r="I36" i="1"/>
  <c r="D36" i="1"/>
  <c r="E36" i="1"/>
  <c r="F36" i="1"/>
  <c r="G36" i="1"/>
  <c r="P52" i="1" l="1"/>
  <c r="P53" i="1"/>
  <c r="P55" i="1"/>
  <c r="P54" i="1"/>
  <c r="P56" i="1"/>
  <c r="P50" i="1"/>
  <c r="O42" i="1"/>
  <c r="P42" i="1"/>
  <c r="O56" i="1"/>
  <c r="O54" i="1"/>
  <c r="O51" i="1"/>
  <c r="O52" i="1"/>
  <c r="L113" i="1"/>
  <c r="M42" i="1"/>
  <c r="M55" i="1"/>
  <c r="K113" i="1"/>
  <c r="F113" i="1"/>
  <c r="H113" i="1"/>
  <c r="O113" i="1"/>
  <c r="J113" i="1"/>
  <c r="O55" i="1"/>
  <c r="E113" i="1"/>
  <c r="N113" i="1"/>
  <c r="O50" i="1"/>
  <c r="P113" i="1"/>
  <c r="D113" i="1"/>
  <c r="C112" i="1"/>
  <c r="I113" i="1"/>
  <c r="M112" i="1"/>
  <c r="G113" i="1"/>
  <c r="O53" i="1"/>
  <c r="M113" i="1"/>
  <c r="P112" i="1"/>
  <c r="C113" i="1"/>
  <c r="O112" i="1"/>
  <c r="L112" i="1"/>
  <c r="N112" i="1"/>
  <c r="M51" i="1"/>
  <c r="M52" i="1"/>
  <c r="M54" i="1"/>
  <c r="M50" i="1"/>
  <c r="M53" i="1"/>
  <c r="M56" i="1"/>
  <c r="L50" i="1"/>
  <c r="L52" i="1"/>
  <c r="L54" i="1"/>
  <c r="L42" i="1"/>
  <c r="N53" i="1"/>
  <c r="N55" i="1"/>
  <c r="N54" i="1"/>
  <c r="N51" i="1"/>
  <c r="N49" i="1"/>
  <c r="N52" i="1"/>
  <c r="N56" i="1"/>
  <c r="L55" i="1"/>
  <c r="L49" i="1"/>
  <c r="L56" i="1"/>
  <c r="N42" i="1"/>
  <c r="N50" i="1"/>
  <c r="L51" i="1"/>
  <c r="G42" i="1"/>
  <c r="G37" i="1"/>
  <c r="I42" i="1"/>
  <c r="I37" i="1"/>
  <c r="D42" i="1"/>
  <c r="D37" i="1"/>
  <c r="F42" i="1"/>
  <c r="F37" i="1"/>
  <c r="E42" i="1"/>
  <c r="E37" i="1"/>
  <c r="C37" i="1"/>
  <c r="C49" i="1" s="1"/>
  <c r="K42" i="1"/>
  <c r="K37" i="1"/>
  <c r="H42" i="1"/>
  <c r="H37" i="1"/>
  <c r="H53" i="1" s="1"/>
  <c r="J42" i="1"/>
  <c r="K112" i="1"/>
  <c r="J53" i="1"/>
  <c r="J49" i="1"/>
  <c r="J54" i="1"/>
  <c r="J50" i="1"/>
  <c r="J52" i="1"/>
  <c r="J51" i="1"/>
  <c r="J56" i="1"/>
  <c r="J55" i="1"/>
  <c r="F112" i="1"/>
  <c r="J112" i="1"/>
  <c r="E112" i="1"/>
  <c r="I112" i="1"/>
  <c r="D112" i="1"/>
  <c r="G112" i="1"/>
  <c r="H112" i="1"/>
  <c r="P60" i="1" l="1"/>
  <c r="P65" i="1"/>
  <c r="O60" i="1"/>
  <c r="O65" i="1" s="1"/>
  <c r="M60" i="1"/>
  <c r="M65" i="1" s="1"/>
  <c r="N60" i="1"/>
  <c r="N65" i="1" s="1"/>
  <c r="L60" i="1"/>
  <c r="L65" i="1" s="1"/>
  <c r="J60" i="1"/>
  <c r="J65" i="1" s="1"/>
  <c r="H55" i="1"/>
  <c r="H50" i="1"/>
  <c r="H56" i="1"/>
  <c r="H51" i="1"/>
  <c r="H54" i="1"/>
  <c r="H49" i="1"/>
  <c r="H52" i="1"/>
  <c r="D51" i="1"/>
  <c r="D50" i="1"/>
  <c r="D56" i="1"/>
  <c r="D53" i="1"/>
  <c r="D49" i="1"/>
  <c r="D52" i="1"/>
  <c r="D54" i="1"/>
  <c r="D55" i="1"/>
  <c r="I50" i="1"/>
  <c r="I51" i="1"/>
  <c r="I52" i="1"/>
  <c r="I53" i="1"/>
  <c r="I55" i="1"/>
  <c r="I56" i="1"/>
  <c r="I49" i="1"/>
  <c r="I54" i="1"/>
  <c r="F49" i="1"/>
  <c r="F52" i="1"/>
  <c r="F55" i="1"/>
  <c r="F50" i="1"/>
  <c r="F54" i="1"/>
  <c r="F56" i="1"/>
  <c r="F53" i="1"/>
  <c r="F51" i="1"/>
  <c r="E50" i="1"/>
  <c r="E54" i="1"/>
  <c r="E53" i="1"/>
  <c r="E56" i="1"/>
  <c r="E49" i="1"/>
  <c r="E55" i="1"/>
  <c r="E52" i="1"/>
  <c r="E51" i="1"/>
  <c r="G50" i="1"/>
  <c r="G51" i="1"/>
  <c r="G54" i="1"/>
  <c r="G52" i="1"/>
  <c r="G53" i="1"/>
  <c r="G55" i="1"/>
  <c r="G56" i="1"/>
  <c r="G49" i="1"/>
  <c r="K51" i="1"/>
  <c r="K49" i="1"/>
  <c r="K50" i="1"/>
  <c r="K53" i="1"/>
  <c r="K52" i="1"/>
  <c r="K55" i="1"/>
  <c r="K56" i="1"/>
  <c r="K54" i="1"/>
  <c r="C51" i="1"/>
  <c r="C50" i="1"/>
  <c r="C52" i="1"/>
  <c r="C54" i="1"/>
  <c r="C53" i="1"/>
  <c r="C56" i="1"/>
  <c r="C55" i="1"/>
  <c r="G60" i="1" l="1"/>
  <c r="G65" i="1" s="1"/>
  <c r="E60" i="1"/>
  <c r="E65" i="1" s="1"/>
  <c r="D60" i="1"/>
  <c r="D65" i="1" s="1"/>
  <c r="I60" i="1"/>
  <c r="I65" i="1" s="1"/>
  <c r="K60" i="1"/>
  <c r="K65" i="1" s="1"/>
  <c r="H60" i="1"/>
  <c r="H65" i="1" s="1"/>
  <c r="F60" i="1"/>
  <c r="F65" i="1" s="1"/>
  <c r="Q65" i="1" l="1"/>
  <c r="C71" i="1" s="1"/>
  <c r="P71" i="1" l="1"/>
  <c r="N71" i="1"/>
  <c r="G71" i="1"/>
  <c r="O71" i="1"/>
  <c r="H71" i="1"/>
  <c r="I71" i="1"/>
  <c r="K71" i="1"/>
  <c r="F71" i="1"/>
  <c r="J71" i="1"/>
  <c r="M71" i="1"/>
  <c r="E71" i="1"/>
  <c r="L71" i="1"/>
  <c r="D71" i="1"/>
  <c r="D132" i="1" l="1"/>
  <c r="D119" i="1"/>
  <c r="D124" i="1"/>
  <c r="D134" i="1"/>
  <c r="D120" i="1"/>
  <c r="D137" i="1"/>
  <c r="D135" i="1"/>
  <c r="D126" i="1"/>
  <c r="D125" i="1"/>
  <c r="D136" i="1"/>
  <c r="D123" i="1"/>
  <c r="D122" i="1"/>
  <c r="D138" i="1"/>
  <c r="D139" i="1"/>
  <c r="D121" i="1"/>
  <c r="D133" i="1"/>
  <c r="G121" i="1"/>
  <c r="G120" i="1"/>
  <c r="G126" i="1"/>
  <c r="G136" i="1"/>
  <c r="G138" i="1"/>
  <c r="G133" i="1"/>
  <c r="G124" i="1"/>
  <c r="G132" i="1"/>
  <c r="G119" i="1"/>
  <c r="G134" i="1"/>
  <c r="G122" i="1"/>
  <c r="G139" i="1"/>
  <c r="G123" i="1"/>
  <c r="G135" i="1"/>
  <c r="G137" i="1"/>
  <c r="G125" i="1"/>
  <c r="H132" i="1"/>
  <c r="H133" i="1"/>
  <c r="H136" i="1"/>
  <c r="H119" i="1"/>
  <c r="H123" i="1"/>
  <c r="H122" i="1"/>
  <c r="H138" i="1"/>
  <c r="H121" i="1"/>
  <c r="H126" i="1"/>
  <c r="H134" i="1"/>
  <c r="H139" i="1"/>
  <c r="H137" i="1"/>
  <c r="H124" i="1"/>
  <c r="H125" i="1"/>
  <c r="H135" i="1"/>
  <c r="H120" i="1"/>
  <c r="L138" i="1"/>
  <c r="L132" i="1"/>
  <c r="L125" i="1"/>
  <c r="L139" i="1"/>
  <c r="L134" i="1"/>
  <c r="L135" i="1"/>
  <c r="L136" i="1"/>
  <c r="L137" i="1"/>
  <c r="L133" i="1"/>
  <c r="L119" i="1"/>
  <c r="L120" i="1"/>
  <c r="L122" i="1"/>
  <c r="L126" i="1"/>
  <c r="L124" i="1"/>
  <c r="L121" i="1"/>
  <c r="L123" i="1"/>
  <c r="N124" i="1"/>
  <c r="N132" i="1"/>
  <c r="N123" i="1"/>
  <c r="N138" i="1"/>
  <c r="N126" i="1"/>
  <c r="N122" i="1"/>
  <c r="N135" i="1"/>
  <c r="N121" i="1"/>
  <c r="N134" i="1"/>
  <c r="N120" i="1"/>
  <c r="N125" i="1"/>
  <c r="N136" i="1"/>
  <c r="N139" i="1"/>
  <c r="N119" i="1"/>
  <c r="N137" i="1"/>
  <c r="N133" i="1"/>
  <c r="K120" i="1"/>
  <c r="K122" i="1"/>
  <c r="K124" i="1"/>
  <c r="K123" i="1"/>
  <c r="K135" i="1"/>
  <c r="K126" i="1"/>
  <c r="K125" i="1"/>
  <c r="K132" i="1"/>
  <c r="K137" i="1"/>
  <c r="K133" i="1"/>
  <c r="K119" i="1"/>
  <c r="K138" i="1"/>
  <c r="K136" i="1"/>
  <c r="K134" i="1"/>
  <c r="K121" i="1"/>
  <c r="K139" i="1"/>
  <c r="O121" i="1"/>
  <c r="O119" i="1"/>
  <c r="O135" i="1"/>
  <c r="O125" i="1"/>
  <c r="O137" i="1"/>
  <c r="O139" i="1"/>
  <c r="O138" i="1"/>
  <c r="O126" i="1"/>
  <c r="O134" i="1"/>
  <c r="O136" i="1"/>
  <c r="O122" i="1"/>
  <c r="O120" i="1"/>
  <c r="O133" i="1"/>
  <c r="O132" i="1"/>
  <c r="O123" i="1"/>
  <c r="O124" i="1"/>
  <c r="J119" i="1"/>
  <c r="J132" i="1"/>
  <c r="J139" i="1"/>
  <c r="J135" i="1"/>
  <c r="J124" i="1"/>
  <c r="J136" i="1"/>
  <c r="J123" i="1"/>
  <c r="J121" i="1"/>
  <c r="J125" i="1"/>
  <c r="J134" i="1"/>
  <c r="J133" i="1"/>
  <c r="J138" i="1"/>
  <c r="J126" i="1"/>
  <c r="J120" i="1"/>
  <c r="J122" i="1"/>
  <c r="J137" i="1"/>
  <c r="P123" i="1"/>
  <c r="P120" i="1"/>
  <c r="P121" i="1"/>
  <c r="P122" i="1"/>
  <c r="P125" i="1"/>
  <c r="P135" i="1"/>
  <c r="P133" i="1"/>
  <c r="P138" i="1"/>
  <c r="P132" i="1"/>
  <c r="P124" i="1"/>
  <c r="P136" i="1"/>
  <c r="P139" i="1"/>
  <c r="P126" i="1"/>
  <c r="P134" i="1"/>
  <c r="P119" i="1"/>
  <c r="P137" i="1"/>
  <c r="I120" i="1"/>
  <c r="I126" i="1"/>
  <c r="I134" i="1"/>
  <c r="I123" i="1"/>
  <c r="I124" i="1"/>
  <c r="I137" i="1"/>
  <c r="I139" i="1"/>
  <c r="I133" i="1"/>
  <c r="I135" i="1"/>
  <c r="I122" i="1"/>
  <c r="I121" i="1"/>
  <c r="I138" i="1"/>
  <c r="I125" i="1"/>
  <c r="I119" i="1"/>
  <c r="I136" i="1"/>
  <c r="I132" i="1"/>
  <c r="E126" i="1"/>
  <c r="E135" i="1"/>
  <c r="E124" i="1"/>
  <c r="E136" i="1"/>
  <c r="E139" i="1"/>
  <c r="E123" i="1"/>
  <c r="E132" i="1"/>
  <c r="E122" i="1"/>
  <c r="E137" i="1"/>
  <c r="E134" i="1"/>
  <c r="E138" i="1"/>
  <c r="E125" i="1"/>
  <c r="E133" i="1"/>
  <c r="E120" i="1"/>
  <c r="E121" i="1"/>
  <c r="E119" i="1"/>
  <c r="M119" i="1"/>
  <c r="M121" i="1"/>
  <c r="M126" i="1"/>
  <c r="M120" i="1"/>
  <c r="M124" i="1"/>
  <c r="M125" i="1"/>
  <c r="M123" i="1"/>
  <c r="M122" i="1"/>
  <c r="M137" i="1"/>
  <c r="M139" i="1"/>
  <c r="M134" i="1"/>
  <c r="M136" i="1"/>
  <c r="M133" i="1"/>
  <c r="M138" i="1"/>
  <c r="M132" i="1"/>
  <c r="M135" i="1"/>
  <c r="F121" i="1"/>
  <c r="F138" i="1"/>
  <c r="F133" i="1"/>
  <c r="F134" i="1"/>
  <c r="F135" i="1"/>
  <c r="F119" i="1"/>
  <c r="F132" i="1"/>
  <c r="F137" i="1"/>
  <c r="F120" i="1"/>
  <c r="F123" i="1"/>
  <c r="F139" i="1"/>
  <c r="F125" i="1"/>
  <c r="F126" i="1"/>
  <c r="F124" i="1"/>
  <c r="F122" i="1"/>
  <c r="F136" i="1"/>
  <c r="C125" i="1"/>
  <c r="C119" i="1"/>
  <c r="C122" i="1"/>
  <c r="C139" i="1"/>
  <c r="C120" i="1"/>
  <c r="C126" i="1"/>
  <c r="C137" i="1"/>
  <c r="C123" i="1"/>
  <c r="C132" i="1"/>
  <c r="C121" i="1"/>
  <c r="C133" i="1"/>
  <c r="C136" i="1"/>
  <c r="C124" i="1"/>
  <c r="C134" i="1"/>
  <c r="C135" i="1"/>
  <c r="C138" i="1"/>
  <c r="Q71" i="1"/>
  <c r="S123" i="1" l="1"/>
  <c r="S122" i="1"/>
  <c r="I141" i="1"/>
  <c r="I142" i="1"/>
  <c r="G141" i="1"/>
  <c r="G142" i="1"/>
  <c r="F141" i="1"/>
  <c r="F142" i="1"/>
  <c r="M142" i="1"/>
  <c r="M141" i="1"/>
  <c r="E142" i="1"/>
  <c r="E141" i="1"/>
  <c r="K142" i="1"/>
  <c r="K141" i="1"/>
  <c r="O141" i="1"/>
  <c r="O142" i="1"/>
  <c r="S124" i="1"/>
  <c r="S126" i="1"/>
  <c r="S120" i="1"/>
  <c r="S119" i="1"/>
  <c r="J141" i="1"/>
  <c r="J142" i="1"/>
  <c r="N141" i="1"/>
  <c r="N142" i="1"/>
  <c r="L142" i="1"/>
  <c r="L141" i="1"/>
  <c r="S121" i="1"/>
  <c r="C141" i="1"/>
  <c r="S125" i="1"/>
  <c r="P141" i="1"/>
  <c r="P142" i="1"/>
  <c r="H141" i="1"/>
  <c r="H142" i="1"/>
  <c r="D142" i="1"/>
  <c r="D141" i="1"/>
  <c r="C142" i="1"/>
  <c r="E150" i="1" l="1"/>
  <c r="I152" i="1"/>
  <c r="I155" i="1"/>
  <c r="I154" i="1"/>
  <c r="N153" i="1"/>
  <c r="L150" i="1"/>
  <c r="O155" i="1"/>
  <c r="M154" i="1"/>
  <c r="O151" i="1"/>
  <c r="O152" i="1"/>
  <c r="J149" i="1"/>
  <c r="M153" i="1"/>
  <c r="K155" i="1"/>
  <c r="M155" i="1"/>
  <c r="M148" i="1"/>
  <c r="N155" i="1"/>
  <c r="L154" i="1"/>
  <c r="L155" i="1"/>
  <c r="M151" i="1"/>
  <c r="K152" i="1"/>
  <c r="N152" i="1"/>
  <c r="I153" i="1"/>
  <c r="K151" i="1"/>
  <c r="N154" i="1"/>
  <c r="F154" i="1"/>
  <c r="N150" i="1"/>
  <c r="N149" i="1"/>
  <c r="C148" i="1"/>
  <c r="D151" i="1"/>
  <c r="I151" i="1"/>
  <c r="N148" i="1"/>
  <c r="M150" i="1"/>
  <c r="K150" i="1"/>
  <c r="J150" i="1"/>
  <c r="E152" i="1"/>
  <c r="O154" i="1"/>
  <c r="P149" i="1"/>
  <c r="C150" i="1"/>
  <c r="F152" i="1"/>
  <c r="G155" i="1"/>
  <c r="F153" i="1"/>
  <c r="M152" i="1"/>
  <c r="D153" i="1"/>
  <c r="H151" i="1"/>
  <c r="C149" i="1"/>
  <c r="K149" i="1"/>
  <c r="I150" i="1"/>
  <c r="D155" i="1"/>
  <c r="I149" i="1"/>
  <c r="F148" i="1"/>
  <c r="L153" i="1"/>
  <c r="H150" i="1"/>
  <c r="G148" i="1"/>
  <c r="H155" i="1"/>
  <c r="H153" i="1"/>
  <c r="J148" i="1"/>
  <c r="E148" i="1"/>
  <c r="J155" i="1"/>
  <c r="K154" i="1"/>
  <c r="C155" i="1"/>
  <c r="O149" i="1"/>
  <c r="G149" i="1"/>
  <c r="J152" i="1"/>
  <c r="N151" i="1"/>
  <c r="C151" i="1"/>
  <c r="H149" i="1"/>
  <c r="P148" i="1"/>
  <c r="L149" i="1"/>
  <c r="L148" i="1"/>
  <c r="O153" i="1"/>
  <c r="L152" i="1"/>
  <c r="K153" i="1"/>
  <c r="P152" i="1"/>
  <c r="D150" i="1"/>
  <c r="J151" i="1"/>
  <c r="C152" i="1"/>
  <c r="D154" i="1"/>
  <c r="E155" i="1"/>
  <c r="G151" i="1"/>
  <c r="P151" i="1"/>
  <c r="J153" i="1"/>
  <c r="P153" i="1"/>
  <c r="E154" i="1"/>
  <c r="F150" i="1"/>
  <c r="O148" i="1"/>
  <c r="C153" i="1"/>
  <c r="F155" i="1"/>
  <c r="D148" i="1"/>
  <c r="C154" i="1"/>
  <c r="O150" i="1"/>
  <c r="D152" i="1"/>
  <c r="E151" i="1"/>
  <c r="F149" i="1"/>
  <c r="G152" i="1"/>
  <c r="J154" i="1"/>
  <c r="F151" i="1"/>
  <c r="G154" i="1"/>
  <c r="E149" i="1"/>
  <c r="L151" i="1"/>
  <c r="P150" i="1"/>
  <c r="D149" i="1"/>
  <c r="I148" i="1"/>
  <c r="H152" i="1"/>
  <c r="G153" i="1"/>
  <c r="H148" i="1"/>
  <c r="P154" i="1"/>
  <c r="H154" i="1"/>
  <c r="E153" i="1"/>
  <c r="K148" i="1"/>
  <c r="G150" i="1"/>
  <c r="P155" i="1"/>
  <c r="M149" i="1"/>
  <c r="S155" i="1" l="1"/>
  <c r="S149" i="1"/>
  <c r="D162" i="1" s="1"/>
  <c r="S148" i="1"/>
  <c r="C161" i="1" s="1"/>
  <c r="S150" i="1"/>
  <c r="D163" i="1" s="1"/>
  <c r="S152" i="1"/>
  <c r="S154" i="1"/>
  <c r="S151" i="1"/>
  <c r="S153" i="1"/>
  <c r="C163" i="1" l="1"/>
  <c r="E163" i="1" s="1"/>
  <c r="D161" i="1"/>
  <c r="E161" i="1" s="1"/>
  <c r="C162" i="1"/>
  <c r="E162" i="1" s="1"/>
  <c r="D168" i="1"/>
  <c r="C168" i="1"/>
  <c r="D166" i="1"/>
  <c r="C166" i="1"/>
  <c r="D164" i="1"/>
  <c r="C164" i="1"/>
  <c r="D167" i="1"/>
  <c r="C167" i="1"/>
  <c r="D165" i="1"/>
  <c r="C165" i="1"/>
  <c r="E165" i="1" l="1"/>
  <c r="E166" i="1"/>
  <c r="E167" i="1"/>
  <c r="E168" i="1"/>
  <c r="E164" i="1"/>
</calcChain>
</file>

<file path=xl/sharedStrings.xml><?xml version="1.0" encoding="utf-8"?>
<sst xmlns="http://schemas.openxmlformats.org/spreadsheetml/2006/main" count="370" uniqueCount="105">
  <si>
    <t>Initial decision matrix</t>
  </si>
  <si>
    <t>A/C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</si>
  <si>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</si>
  <si>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</si>
  <si>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</si>
  <si>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</si>
  <si>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</si>
  <si>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</si>
  <si>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</si>
  <si>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</si>
  <si>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</si>
  <si>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A1</t>
  </si>
  <si>
    <t>A2</t>
  </si>
  <si>
    <t>A3</t>
  </si>
  <si>
    <t>A4</t>
  </si>
  <si>
    <t>A5</t>
  </si>
  <si>
    <t>A6</t>
  </si>
  <si>
    <t>A7</t>
  </si>
  <si>
    <t>A8</t>
  </si>
  <si>
    <t>Normalized decision matrix</t>
  </si>
  <si>
    <t>delta zj</t>
  </si>
  <si>
    <t>max</t>
  </si>
  <si>
    <t>max of col.</t>
  </si>
  <si>
    <t>min of col.</t>
  </si>
  <si>
    <t>m</t>
  </si>
  <si>
    <t>min</t>
  </si>
  <si>
    <t>j-th criterion class interval</t>
  </si>
  <si>
    <t xml:space="preserve"> </t>
  </si>
  <si>
    <t>z^2</t>
  </si>
  <si>
    <t>Ej</t>
  </si>
  <si>
    <t>SUM</t>
  </si>
  <si>
    <t>for envelope</t>
  </si>
  <si>
    <t>qj</t>
  </si>
  <si>
    <t>wj</t>
  </si>
  <si>
    <t>for wj</t>
  </si>
  <si>
    <t>WENSLO</t>
  </si>
  <si>
    <t>ARTASI</t>
  </si>
  <si>
    <t>abs max</t>
  </si>
  <si>
    <t>abs min</t>
  </si>
  <si>
    <t>1/m</t>
  </si>
  <si>
    <t>lower limit</t>
  </si>
  <si>
    <t>upper limit</t>
  </si>
  <si>
    <t>vij+</t>
  </si>
  <si>
    <t>vij</t>
  </si>
  <si>
    <t>vij-</t>
  </si>
  <si>
    <t>Ii+</t>
  </si>
  <si>
    <t>Ii-</t>
  </si>
  <si>
    <t>Car</t>
  </si>
  <si>
    <t>Taxi/Martı</t>
  </si>
  <si>
    <t>Bus</t>
  </si>
  <si>
    <t>Minibuses</t>
  </si>
  <si>
    <t>Metrobus</t>
  </si>
  <si>
    <t>Metro/Marmaray</t>
  </si>
  <si>
    <t>Ferry</t>
  </si>
  <si>
    <t>Sea taxi</t>
  </si>
  <si>
    <t>C10</t>
  </si>
  <si>
    <t>C11</t>
  </si>
  <si>
    <t>C12</t>
  </si>
  <si>
    <t>C13</t>
  </si>
  <si>
    <t>C14</t>
  </si>
  <si>
    <t>CO2 Emission</t>
  </si>
  <si>
    <t>Air Pollution</t>
  </si>
  <si>
    <t>Noise Pollution</t>
  </si>
  <si>
    <t>Occupancy Rate</t>
  </si>
  <si>
    <t>Occupancy R.</t>
  </si>
  <si>
    <t>Travel Time</t>
  </si>
  <si>
    <t>Transport.Cost</t>
  </si>
  <si>
    <t>Capacity</t>
  </si>
  <si>
    <t>Availability</t>
  </si>
  <si>
    <t>Intermodality</t>
  </si>
  <si>
    <t>Waiting Time</t>
  </si>
  <si>
    <t>Accessibility</t>
  </si>
  <si>
    <t>Safety</t>
  </si>
  <si>
    <t>Flexibility</t>
  </si>
  <si>
    <t>Comfort</t>
  </si>
  <si>
    <t>Final Ranking</t>
  </si>
  <si>
    <t>Transportation Cost</t>
  </si>
  <si>
    <t>Rank</t>
  </si>
  <si>
    <t>(Correct)</t>
  </si>
  <si>
    <t>STEP 1.</t>
  </si>
  <si>
    <t>STEP 2.</t>
  </si>
  <si>
    <t>STEP 3.</t>
  </si>
  <si>
    <t>Xij</t>
  </si>
  <si>
    <t>Zij</t>
  </si>
  <si>
    <t>Constants</t>
  </si>
  <si>
    <t>STEP 4.</t>
  </si>
  <si>
    <t>Criterion slope</t>
  </si>
  <si>
    <t>STEP 5.</t>
  </si>
  <si>
    <t>Criterion envelope</t>
  </si>
  <si>
    <t>Envelope/slope ratio</t>
  </si>
  <si>
    <t>STEP 6.</t>
  </si>
  <si>
    <t>Final criteria weights</t>
  </si>
  <si>
    <t>STEP 7.</t>
  </si>
  <si>
    <t>Absolute max and min</t>
  </si>
  <si>
    <t>Standardize initial decision matrix</t>
  </si>
  <si>
    <t>Degree of usefulness of alternatives about the ideal value vij+</t>
  </si>
  <si>
    <t>Degree of usefulness of alternatives about the anti-ideal value vij-</t>
  </si>
  <si>
    <t>Determining the utility functions and ranking of alternatives</t>
  </si>
  <si>
    <t>alpha</t>
  </si>
  <si>
    <t>f(I+)</t>
  </si>
  <si>
    <t>f(I-)</t>
  </si>
  <si>
    <t>Degrees of usefullnes optimal value</t>
  </si>
  <si>
    <t>Degrees of usefullnes anti-ideal value</t>
  </si>
  <si>
    <t>Oij</t>
  </si>
  <si>
    <t>tan yj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</si>
</sst>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"/>
    <numFmt numFmtId="165" formatCode="0.000"/>
    <numFmt numFmtId="166" formatCode="0.0000"/>
    <numFmt numFmtId="167" formatCode="0.0"/>
  </numFmts>
  <fonts count="6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8"/>
      <color theme="1"/>
      <name val="Aptos Narrow"/>
      <scheme val="minor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4999237037263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1">
    <xf numFmtId="0" fontId="0" fillId="0" borderId="0" xfId="0"/>
    <xf numFmtId="165" fontId="0" fillId="0" borderId="0" xfId="0" applyNumberFormat="1"/>
    <xf numFmtId="0" fontId="2" fillId="0" borderId="0" xfId="0" applyFont="1"/>
    <xf numFmtId="164" fontId="0" fillId="0" borderId="1" xfId="0" applyNumberFormat="1" applyBorder="1"/>
    <xf numFmtId="1" fontId="0" fillId="0" borderId="0" xfId="0" applyNumberFormat="1"/>
    <xf numFmtId="165" fontId="0" fillId="0" borderId="3" xfId="0" applyNumberFormat="1" applyBorder="1"/>
    <xf numFmtId="0" fontId="0" fillId="0" borderId="3" xfId="0" applyBorder="1"/>
    <xf numFmtId="165" fontId="2" fillId="0" borderId="0" xfId="0" applyNumberFormat="1" applyFont="1"/>
    <xf numFmtId="165" fontId="0" fillId="0" borderId="1" xfId="0" applyNumberFormat="1" applyBorder="1"/>
    <xf numFmtId="1" fontId="0" fillId="0" borderId="1" xfId="0" applyNumberFormat="1" applyBorder="1"/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5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65" fontId="3" fillId="0" borderId="1" xfId="0" applyNumberFormat="1" applyFont="1" applyBorder="1"/>
    <xf numFmtId="165" fontId="0" fillId="0" borderId="0" xfId="0" applyNumberFormat="1" applyAlignment="1">
      <alignment vertical="center"/>
    </xf>
    <xf numFmtId="165" fontId="0" fillId="0" borderId="5" xfId="0" applyNumberFormat="1" applyBorder="1"/>
    <xf numFmtId="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/>
    </xf>
    <xf numFmtId="1" fontId="0" fillId="0" borderId="2" xfId="0" applyNumberFormat="1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166" fontId="0" fillId="0" borderId="0" xfId="0" applyNumberFormat="1"/>
    <xf numFmtId="1" fontId="0" fillId="0" borderId="0" xfId="0" applyNumberFormat="1" applyAlignment="1">
      <alignment vertical="center"/>
    </xf>
    <xf numFmtId="165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7" fontId="5" fillId="0" borderId="1" xfId="0" applyNumberFormat="1" applyFon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2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5" fontId="2" fillId="3" borderId="5" xfId="0" applyNumberFormat="1" applyFont="1" applyFill="1" applyBorder="1" applyAlignment="1">
      <alignment horizontal="center"/>
    </xf>
    <xf numFmtId="165" fontId="2" fillId="3" borderId="6" xfId="0" applyNumberFormat="1" applyFont="1" applyFill="1" applyBorder="1" applyAlignment="1">
      <alignment horizontal="center"/>
    </xf>
    <xf numFmtId="165" fontId="2" fillId="3" borderId="7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165" fontId="0" fillId="3" borderId="5" xfId="0" applyNumberFormat="1" applyFill="1" applyBorder="1" applyAlignment="1">
      <alignment horizontal="center"/>
    </xf>
    <xf numFmtId="165" fontId="0" fillId="3" borderId="7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4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9A6E1-DCC3-8B4F-A150-896CE8CF30A8}">
  <dimension ref="A1:V185"/>
  <sheetViews>
    <sheetView tabSelected="1" zoomScaleNormal="75" workbookViewId="0">
      <selection activeCell="A5" sqref="A5:XFD5"/>
    </sheetView>
  </sheetViews>
  <sheetFormatPr baseColWidth="10" defaultRowHeight="16" x14ac:dyDescent="0.2"/>
  <cols>
    <col min="2" max="2" width="16.83203125" customWidth="1"/>
    <col min="3" max="3" width="13.5" bestFit="1" customWidth="1"/>
    <col min="4" max="16" width="13" bestFit="1" customWidth="1"/>
  </cols>
  <sheetData>
    <row r="1" spans="1:16" ht="24" x14ac:dyDescent="0.3">
      <c r="A1" s="45" t="s">
        <v>35</v>
      </c>
      <c r="B1" s="45"/>
    </row>
    <row r="2" spans="1:16" x14ac:dyDescent="0.2">
      <c r="A2" s="2" t="s">
        <v>79</v>
      </c>
      <c r="B2" s="36" t="s">
        <v>0</v>
      </c>
      <c r="C2" s="36"/>
    </row>
    <row r="4" spans="1:16" x14ac:dyDescent="0.2">
      <c r="B4" s="31" t="s">
        <v>1</v>
      </c>
      <c r="C4" s="31" t="s">
        <v>60</v>
      </c>
      <c r="D4" s="31" t="s">
        <v>61</v>
      </c>
      <c r="E4" s="31" t="s">
        <v>62</v>
      </c>
      <c r="F4" s="31" t="s">
        <v>64</v>
      </c>
      <c r="G4" s="31" t="s">
        <v>66</v>
      </c>
      <c r="H4" s="31" t="s">
        <v>65</v>
      </c>
      <c r="I4" s="31" t="s">
        <v>67</v>
      </c>
      <c r="J4" s="31" t="s">
        <v>68</v>
      </c>
      <c r="K4" s="31" t="s">
        <v>69</v>
      </c>
      <c r="L4" s="31" t="s">
        <v>70</v>
      </c>
      <c r="M4" s="31" t="s">
        <v>71</v>
      </c>
      <c r="N4" s="31" t="s">
        <v>72</v>
      </c>
      <c r="O4" s="31" t="s">
        <v>73</v>
      </c>
      <c r="P4" s="31" t="s">
        <v>74</v>
      </c>
    </row>
    <row r="5" spans="1:16" x14ac:dyDescent="0.2">
      <c r="B5" s="31" t="s">
        <v>47</v>
      </c>
      <c r="C5" s="10">
        <v>45</v>
      </c>
      <c r="D5" s="10">
        <v>41</v>
      </c>
      <c r="E5" s="10">
        <v>25</v>
      </c>
      <c r="F5" s="10">
        <v>13</v>
      </c>
      <c r="G5" s="10">
        <v>46</v>
      </c>
      <c r="H5" s="10">
        <v>38</v>
      </c>
      <c r="I5" s="10">
        <v>25</v>
      </c>
      <c r="J5" s="10">
        <v>58</v>
      </c>
      <c r="K5" s="10">
        <v>53</v>
      </c>
      <c r="L5" s="10">
        <v>12</v>
      </c>
      <c r="M5" s="10">
        <v>48</v>
      </c>
      <c r="N5" s="10">
        <v>43</v>
      </c>
      <c r="O5" s="10">
        <v>56</v>
      </c>
      <c r="P5" s="10">
        <v>60</v>
      </c>
    </row>
    <row r="6" spans="1:16" x14ac:dyDescent="0.2">
      <c r="B6" s="31" t="s">
        <v>48</v>
      </c>
      <c r="C6" s="10">
        <v>45</v>
      </c>
      <c r="D6" s="10">
        <v>39</v>
      </c>
      <c r="E6" s="10">
        <v>23</v>
      </c>
      <c r="F6" s="10">
        <v>16</v>
      </c>
      <c r="G6" s="10">
        <v>59</v>
      </c>
      <c r="H6" s="10">
        <v>39</v>
      </c>
      <c r="I6" s="10">
        <v>25</v>
      </c>
      <c r="J6" s="10">
        <v>45</v>
      </c>
      <c r="K6" s="10">
        <v>53</v>
      </c>
      <c r="L6" s="10">
        <v>31</v>
      </c>
      <c r="M6" s="10">
        <v>45</v>
      </c>
      <c r="N6" s="10">
        <v>38</v>
      </c>
      <c r="O6" s="10">
        <v>52</v>
      </c>
      <c r="P6" s="10">
        <v>50</v>
      </c>
    </row>
    <row r="7" spans="1:16" x14ac:dyDescent="0.2">
      <c r="B7" s="31" t="s">
        <v>49</v>
      </c>
      <c r="C7" s="10">
        <v>41</v>
      </c>
      <c r="D7" s="10">
        <v>35</v>
      </c>
      <c r="E7" s="10">
        <v>39</v>
      </c>
      <c r="F7" s="10">
        <v>46</v>
      </c>
      <c r="G7" s="10">
        <v>33</v>
      </c>
      <c r="H7" s="10">
        <v>45</v>
      </c>
      <c r="I7" s="10">
        <v>49</v>
      </c>
      <c r="J7" s="10">
        <v>41</v>
      </c>
      <c r="K7" s="10">
        <v>50</v>
      </c>
      <c r="L7" s="10">
        <v>41</v>
      </c>
      <c r="M7" s="10">
        <v>40</v>
      </c>
      <c r="N7" s="10">
        <v>36</v>
      </c>
      <c r="O7" s="10">
        <v>38</v>
      </c>
      <c r="P7" s="10">
        <v>31</v>
      </c>
    </row>
    <row r="8" spans="1:16" x14ac:dyDescent="0.2">
      <c r="A8" t="s">
        <v>82</v>
      </c>
      <c r="B8" s="31" t="s">
        <v>50</v>
      </c>
      <c r="C8" s="10">
        <v>45</v>
      </c>
      <c r="D8" s="10">
        <v>34</v>
      </c>
      <c r="E8" s="10">
        <v>40</v>
      </c>
      <c r="F8" s="10">
        <v>53</v>
      </c>
      <c r="G8" s="10">
        <v>42</v>
      </c>
      <c r="H8" s="10">
        <v>48</v>
      </c>
      <c r="I8" s="10">
        <v>44</v>
      </c>
      <c r="J8" s="10">
        <v>42</v>
      </c>
      <c r="K8" s="10">
        <v>47</v>
      </c>
      <c r="L8" s="10">
        <v>38</v>
      </c>
      <c r="M8" s="10">
        <v>43</v>
      </c>
      <c r="N8" s="10">
        <v>41</v>
      </c>
      <c r="O8" s="10">
        <v>39</v>
      </c>
      <c r="P8" s="10">
        <v>24</v>
      </c>
    </row>
    <row r="9" spans="1:16" x14ac:dyDescent="0.2">
      <c r="B9" s="31" t="s">
        <v>51</v>
      </c>
      <c r="C9" s="10">
        <v>31</v>
      </c>
      <c r="D9" s="10">
        <v>29</v>
      </c>
      <c r="E9" s="10">
        <v>36</v>
      </c>
      <c r="F9" s="10">
        <v>55</v>
      </c>
      <c r="G9" s="10">
        <v>35</v>
      </c>
      <c r="H9" s="10">
        <v>32</v>
      </c>
      <c r="I9" s="10">
        <v>54</v>
      </c>
      <c r="J9" s="10">
        <v>50</v>
      </c>
      <c r="K9" s="10">
        <v>52</v>
      </c>
      <c r="L9" s="10">
        <v>34</v>
      </c>
      <c r="M9" s="10">
        <v>42</v>
      </c>
      <c r="N9" s="10">
        <v>32</v>
      </c>
      <c r="O9" s="10">
        <v>33</v>
      </c>
      <c r="P9" s="10">
        <v>24</v>
      </c>
    </row>
    <row r="10" spans="1:16" x14ac:dyDescent="0.2">
      <c r="B10" s="31" t="s">
        <v>52</v>
      </c>
      <c r="C10" s="10">
        <v>28</v>
      </c>
      <c r="D10" s="10">
        <v>21</v>
      </c>
      <c r="E10" s="10">
        <v>23</v>
      </c>
      <c r="F10" s="10">
        <v>49</v>
      </c>
      <c r="G10" s="10">
        <v>32</v>
      </c>
      <c r="H10" s="10">
        <v>22</v>
      </c>
      <c r="I10" s="10">
        <v>54</v>
      </c>
      <c r="J10" s="10">
        <v>50</v>
      </c>
      <c r="K10" s="10">
        <v>50</v>
      </c>
      <c r="L10" s="10">
        <v>32</v>
      </c>
      <c r="M10" s="10">
        <v>40</v>
      </c>
      <c r="N10" s="10">
        <v>25</v>
      </c>
      <c r="O10" s="10">
        <v>33</v>
      </c>
      <c r="P10" s="10">
        <v>39</v>
      </c>
    </row>
    <row r="11" spans="1:16" x14ac:dyDescent="0.2">
      <c r="B11" s="31" t="s">
        <v>53</v>
      </c>
      <c r="C11" s="10">
        <v>38</v>
      </c>
      <c r="D11" s="10">
        <v>34</v>
      </c>
      <c r="E11" s="10">
        <v>33</v>
      </c>
      <c r="F11" s="19">
        <v>35</v>
      </c>
      <c r="G11" s="10">
        <v>30</v>
      </c>
      <c r="H11" s="10">
        <v>30</v>
      </c>
      <c r="I11" s="10">
        <v>53</v>
      </c>
      <c r="J11" s="10">
        <v>33</v>
      </c>
      <c r="K11" s="10">
        <v>32</v>
      </c>
      <c r="L11" s="10">
        <v>42</v>
      </c>
      <c r="M11" s="10">
        <v>26</v>
      </c>
      <c r="N11" s="10">
        <v>26</v>
      </c>
      <c r="O11" s="10">
        <v>25</v>
      </c>
      <c r="P11" s="10">
        <v>46</v>
      </c>
    </row>
    <row r="12" spans="1:16" x14ac:dyDescent="0.2">
      <c r="B12" s="32" t="s">
        <v>54</v>
      </c>
      <c r="C12" s="20">
        <v>40</v>
      </c>
      <c r="D12" s="20">
        <v>35</v>
      </c>
      <c r="E12" s="20">
        <v>22</v>
      </c>
      <c r="F12" s="20">
        <v>20</v>
      </c>
      <c r="G12" s="20">
        <v>54</v>
      </c>
      <c r="H12" s="20">
        <v>27</v>
      </c>
      <c r="I12" s="20">
        <v>24</v>
      </c>
      <c r="J12" s="20">
        <v>28</v>
      </c>
      <c r="K12" s="20">
        <v>21</v>
      </c>
      <c r="L12" s="10">
        <v>38</v>
      </c>
      <c r="M12" s="10">
        <v>25</v>
      </c>
      <c r="N12" s="10">
        <v>28</v>
      </c>
      <c r="O12" s="10">
        <v>35</v>
      </c>
      <c r="P12" s="10">
        <v>45</v>
      </c>
    </row>
    <row r="13" spans="1:16" x14ac:dyDescent="0.2"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5" spans="1:16" x14ac:dyDescent="0.2">
      <c r="A15" s="2" t="s">
        <v>80</v>
      </c>
      <c r="B15" s="36" t="s">
        <v>19</v>
      </c>
      <c r="C15" s="36"/>
      <c r="D15" s="2"/>
    </row>
    <row r="17" spans="1:20" x14ac:dyDescent="0.2">
      <c r="B17" s="31" t="s">
        <v>1</v>
      </c>
      <c r="C17" s="31" t="s">
        <v>2</v>
      </c>
      <c r="D17" s="31" t="s">
        <v>3</v>
      </c>
      <c r="E17" s="31" t="s">
        <v>4</v>
      </c>
      <c r="F17" s="31" t="s">
        <v>5</v>
      </c>
      <c r="G17" s="31" t="s">
        <v>6</v>
      </c>
      <c r="H17" s="31" t="s">
        <v>7</v>
      </c>
      <c r="I17" s="31" t="s">
        <v>8</v>
      </c>
      <c r="J17" s="31" t="s">
        <v>9</v>
      </c>
      <c r="K17" s="31" t="s">
        <v>10</v>
      </c>
      <c r="L17" s="31" t="s">
        <v>55</v>
      </c>
      <c r="M17" s="31" t="s">
        <v>56</v>
      </c>
      <c r="N17" s="31" t="s">
        <v>57</v>
      </c>
      <c r="O17" s="31" t="s">
        <v>58</v>
      </c>
      <c r="P17" s="31" t="s">
        <v>59</v>
      </c>
    </row>
    <row r="18" spans="1:20" x14ac:dyDescent="0.2">
      <c r="A18" s="1"/>
      <c r="B18" s="26" t="s">
        <v>11</v>
      </c>
      <c r="C18" s="8">
        <f>C5/SUM(C$5:C$12)</f>
        <v>0.14376996805111822</v>
      </c>
      <c r="D18" s="8">
        <f t="shared" ref="D18:P18" si="0">D5/SUM(D$5:D$12)</f>
        <v>0.15298507462686567</v>
      </c>
      <c r="E18" s="8">
        <f t="shared" si="0"/>
        <v>0.1037344398340249</v>
      </c>
      <c r="F18" s="8">
        <f t="shared" si="0"/>
        <v>4.5296167247386762E-2</v>
      </c>
      <c r="G18" s="8">
        <f t="shared" si="0"/>
        <v>0.13897280966767372</v>
      </c>
      <c r="H18" s="8">
        <f t="shared" si="0"/>
        <v>0.13523131672597866</v>
      </c>
      <c r="I18" s="8">
        <f t="shared" si="0"/>
        <v>7.621951219512195E-2</v>
      </c>
      <c r="J18" s="8">
        <f t="shared" si="0"/>
        <v>0.16714697406340057</v>
      </c>
      <c r="K18" s="8">
        <f t="shared" si="0"/>
        <v>0.14804469273743018</v>
      </c>
      <c r="L18" s="8">
        <f>L5/SUM(L$5:L$12)</f>
        <v>4.4776119402985072E-2</v>
      </c>
      <c r="M18" s="8">
        <f>M5/SUM(M$5:M$12)</f>
        <v>0.1553398058252427</v>
      </c>
      <c r="N18" s="8">
        <f t="shared" si="0"/>
        <v>0.15985130111524162</v>
      </c>
      <c r="O18" s="8">
        <f t="shared" si="0"/>
        <v>0.18006430868167203</v>
      </c>
      <c r="P18" s="8">
        <f t="shared" si="0"/>
        <v>0.18808777429467086</v>
      </c>
      <c r="Q18" s="1"/>
      <c r="R18" s="1"/>
      <c r="S18" s="1"/>
      <c r="T18" s="1"/>
    </row>
    <row r="19" spans="1:20" x14ac:dyDescent="0.2">
      <c r="A19" s="1"/>
      <c r="B19" s="26" t="s">
        <v>12</v>
      </c>
      <c r="C19" s="8">
        <f t="shared" ref="C19:P25" si="1">C6/SUM(C$5:C$12)</f>
        <v>0.14376996805111822</v>
      </c>
      <c r="D19" s="8">
        <f t="shared" si="1"/>
        <v>0.1455223880597015</v>
      </c>
      <c r="E19" s="8">
        <f t="shared" si="1"/>
        <v>9.5435684647302899E-2</v>
      </c>
      <c r="F19" s="8">
        <f t="shared" si="1"/>
        <v>5.5749128919860627E-2</v>
      </c>
      <c r="G19" s="8">
        <f t="shared" si="1"/>
        <v>0.1782477341389728</v>
      </c>
      <c r="H19" s="8">
        <f t="shared" si="1"/>
        <v>0.13879003558718861</v>
      </c>
      <c r="I19" s="8">
        <f t="shared" si="1"/>
        <v>7.621951219512195E-2</v>
      </c>
      <c r="J19" s="8">
        <f t="shared" si="1"/>
        <v>0.12968299711815562</v>
      </c>
      <c r="K19" s="8">
        <f t="shared" si="1"/>
        <v>0.14804469273743018</v>
      </c>
      <c r="L19" s="8">
        <f t="shared" si="1"/>
        <v>0.11567164179104478</v>
      </c>
      <c r="M19" s="8">
        <f t="shared" si="1"/>
        <v>0.14563106796116504</v>
      </c>
      <c r="N19" s="8">
        <f t="shared" si="1"/>
        <v>0.14126394052044611</v>
      </c>
      <c r="O19" s="8">
        <f t="shared" si="1"/>
        <v>0.16720257234726688</v>
      </c>
      <c r="P19" s="8">
        <f t="shared" si="1"/>
        <v>0.15673981191222572</v>
      </c>
      <c r="Q19" s="1"/>
      <c r="R19" s="1"/>
      <c r="S19" s="1"/>
      <c r="T19" s="1"/>
    </row>
    <row r="20" spans="1:20" x14ac:dyDescent="0.2">
      <c r="A20" s="1"/>
      <c r="B20" s="26" t="s">
        <v>13</v>
      </c>
      <c r="C20" s="8">
        <f t="shared" si="1"/>
        <v>0.13099041533546327</v>
      </c>
      <c r="D20" s="8">
        <f t="shared" si="1"/>
        <v>0.13059701492537312</v>
      </c>
      <c r="E20" s="8">
        <f t="shared" si="1"/>
        <v>0.16182572614107885</v>
      </c>
      <c r="F20" s="8">
        <f t="shared" si="1"/>
        <v>0.16027874564459929</v>
      </c>
      <c r="G20" s="8">
        <f t="shared" si="1"/>
        <v>9.9697885196374625E-2</v>
      </c>
      <c r="H20" s="8">
        <f t="shared" si="1"/>
        <v>0.16014234875444841</v>
      </c>
      <c r="I20" s="8">
        <f t="shared" si="1"/>
        <v>0.14939024390243902</v>
      </c>
      <c r="J20" s="8">
        <f t="shared" si="1"/>
        <v>0.11815561959654179</v>
      </c>
      <c r="K20" s="8">
        <f t="shared" si="1"/>
        <v>0.13966480446927373</v>
      </c>
      <c r="L20" s="8">
        <f t="shared" si="1"/>
        <v>0.15298507462686567</v>
      </c>
      <c r="M20" s="8">
        <f t="shared" si="1"/>
        <v>0.12944983818770225</v>
      </c>
      <c r="N20" s="8">
        <f t="shared" si="1"/>
        <v>0.13382899628252787</v>
      </c>
      <c r="O20" s="8">
        <f t="shared" si="1"/>
        <v>0.12218649517684887</v>
      </c>
      <c r="P20" s="8">
        <f t="shared" si="1"/>
        <v>9.7178683385579931E-2</v>
      </c>
      <c r="Q20" s="1"/>
      <c r="R20" s="1"/>
      <c r="S20" s="1"/>
      <c r="T20" s="1"/>
    </row>
    <row r="21" spans="1:20" x14ac:dyDescent="0.2">
      <c r="A21" s="1" t="s">
        <v>83</v>
      </c>
      <c r="B21" s="26" t="s">
        <v>14</v>
      </c>
      <c r="C21" s="8">
        <f t="shared" si="1"/>
        <v>0.14376996805111822</v>
      </c>
      <c r="D21" s="8">
        <f t="shared" si="1"/>
        <v>0.12686567164179105</v>
      </c>
      <c r="E21" s="8">
        <f t="shared" si="1"/>
        <v>0.16597510373443983</v>
      </c>
      <c r="F21" s="8">
        <f t="shared" si="1"/>
        <v>0.18466898954703834</v>
      </c>
      <c r="G21" s="8">
        <f t="shared" si="1"/>
        <v>0.12688821752265861</v>
      </c>
      <c r="H21" s="8">
        <f t="shared" si="1"/>
        <v>0.1708185053380783</v>
      </c>
      <c r="I21" s="8">
        <f t="shared" si="1"/>
        <v>0.13414634146341464</v>
      </c>
      <c r="J21" s="8">
        <f t="shared" si="1"/>
        <v>0.12103746397694524</v>
      </c>
      <c r="K21" s="8">
        <f t="shared" si="1"/>
        <v>0.13128491620111732</v>
      </c>
      <c r="L21" s="8">
        <f t="shared" si="1"/>
        <v>0.1417910447761194</v>
      </c>
      <c r="M21" s="8">
        <f t="shared" si="1"/>
        <v>0.13915857605177995</v>
      </c>
      <c r="N21" s="8">
        <f t="shared" si="1"/>
        <v>0.15241635687732341</v>
      </c>
      <c r="O21" s="8">
        <f t="shared" si="1"/>
        <v>0.12540192926045016</v>
      </c>
      <c r="P21" s="8">
        <f t="shared" si="1"/>
        <v>7.5235109717868343E-2</v>
      </c>
      <c r="Q21" s="1"/>
      <c r="R21" s="1"/>
      <c r="S21" s="1"/>
      <c r="T21" s="1"/>
    </row>
    <row r="22" spans="1:20" x14ac:dyDescent="0.2">
      <c r="A22" s="1"/>
      <c r="B22" s="26" t="s">
        <v>15</v>
      </c>
      <c r="C22" s="8">
        <f t="shared" si="1"/>
        <v>9.9041533546325874E-2</v>
      </c>
      <c r="D22" s="8">
        <f t="shared" si="1"/>
        <v>0.10820895522388059</v>
      </c>
      <c r="E22" s="8">
        <f t="shared" si="1"/>
        <v>0.14937759336099585</v>
      </c>
      <c r="F22" s="8">
        <f t="shared" si="1"/>
        <v>0.19163763066202091</v>
      </c>
      <c r="G22" s="8">
        <f t="shared" si="1"/>
        <v>0.10574018126888217</v>
      </c>
      <c r="H22" s="8">
        <f t="shared" si="1"/>
        <v>0.11387900355871886</v>
      </c>
      <c r="I22" s="8">
        <f t="shared" si="1"/>
        <v>0.16463414634146342</v>
      </c>
      <c r="J22" s="8">
        <f t="shared" si="1"/>
        <v>0.14409221902017291</v>
      </c>
      <c r="K22" s="8">
        <f t="shared" si="1"/>
        <v>0.14525139664804471</v>
      </c>
      <c r="L22" s="8">
        <f t="shared" si="1"/>
        <v>0.12686567164179105</v>
      </c>
      <c r="M22" s="8">
        <f t="shared" si="1"/>
        <v>0.13592233009708737</v>
      </c>
      <c r="N22" s="8">
        <f t="shared" si="1"/>
        <v>0.11895910780669144</v>
      </c>
      <c r="O22" s="8">
        <f t="shared" si="1"/>
        <v>0.10610932475884244</v>
      </c>
      <c r="P22" s="8">
        <f t="shared" si="1"/>
        <v>7.5235109717868343E-2</v>
      </c>
      <c r="Q22" s="1"/>
      <c r="R22" s="1"/>
      <c r="S22" s="1"/>
      <c r="T22" s="1"/>
    </row>
    <row r="23" spans="1:20" x14ac:dyDescent="0.2">
      <c r="A23" s="1"/>
      <c r="B23" s="26" t="s">
        <v>16</v>
      </c>
      <c r="C23" s="8">
        <f t="shared" si="1"/>
        <v>8.9456869009584661E-2</v>
      </c>
      <c r="D23" s="8">
        <f t="shared" si="1"/>
        <v>7.8358208955223885E-2</v>
      </c>
      <c r="E23" s="8">
        <f t="shared" si="1"/>
        <v>9.5435684647302899E-2</v>
      </c>
      <c r="F23" s="8">
        <f t="shared" si="1"/>
        <v>0.17073170731707318</v>
      </c>
      <c r="G23" s="8">
        <f t="shared" si="1"/>
        <v>9.6676737160120846E-2</v>
      </c>
      <c r="H23" s="8">
        <f t="shared" si="1"/>
        <v>7.8291814946619215E-2</v>
      </c>
      <c r="I23" s="8">
        <f t="shared" si="1"/>
        <v>0.16463414634146342</v>
      </c>
      <c r="J23" s="8">
        <f t="shared" si="1"/>
        <v>0.14409221902017291</v>
      </c>
      <c r="K23" s="8">
        <f t="shared" si="1"/>
        <v>0.13966480446927373</v>
      </c>
      <c r="L23" s="8">
        <f t="shared" si="1"/>
        <v>0.11940298507462686</v>
      </c>
      <c r="M23" s="8">
        <f t="shared" si="1"/>
        <v>0.12944983818770225</v>
      </c>
      <c r="N23" s="8">
        <f t="shared" si="1"/>
        <v>9.2936802973977689E-2</v>
      </c>
      <c r="O23" s="8">
        <f t="shared" si="1"/>
        <v>0.10610932475884244</v>
      </c>
      <c r="P23" s="8">
        <f>P10/SUM(P$5:P$12)</f>
        <v>0.12225705329153605</v>
      </c>
      <c r="Q23" s="1"/>
      <c r="R23" s="1"/>
      <c r="S23" s="1"/>
      <c r="T23" s="1"/>
    </row>
    <row r="24" spans="1:20" x14ac:dyDescent="0.2">
      <c r="A24" s="1"/>
      <c r="B24" s="26" t="s">
        <v>17</v>
      </c>
      <c r="C24" s="8">
        <f t="shared" si="1"/>
        <v>0.12140575079872204</v>
      </c>
      <c r="D24" s="8">
        <f t="shared" si="1"/>
        <v>0.12686567164179105</v>
      </c>
      <c r="E24" s="8">
        <f t="shared" si="1"/>
        <v>0.13692946058091288</v>
      </c>
      <c r="F24" s="8">
        <f t="shared" si="1"/>
        <v>0.12195121951219512</v>
      </c>
      <c r="G24" s="8">
        <f t="shared" si="1"/>
        <v>9.0634441087613288E-2</v>
      </c>
      <c r="H24" s="8">
        <f t="shared" si="1"/>
        <v>0.10676156583629894</v>
      </c>
      <c r="I24" s="8">
        <f t="shared" si="1"/>
        <v>0.16158536585365854</v>
      </c>
      <c r="J24" s="8">
        <f t="shared" si="1"/>
        <v>9.5100864553314124E-2</v>
      </c>
      <c r="K24" s="8">
        <f t="shared" si="1"/>
        <v>8.9385474860335198E-2</v>
      </c>
      <c r="L24" s="8">
        <f t="shared" si="1"/>
        <v>0.15671641791044777</v>
      </c>
      <c r="M24" s="8">
        <f t="shared" si="1"/>
        <v>8.4142394822006472E-2</v>
      </c>
      <c r="N24" s="8">
        <f t="shared" si="1"/>
        <v>9.6654275092936809E-2</v>
      </c>
      <c r="O24" s="8">
        <f t="shared" si="1"/>
        <v>8.0385852090032156E-2</v>
      </c>
      <c r="P24" s="8">
        <f t="shared" si="1"/>
        <v>0.14420062695924765</v>
      </c>
      <c r="Q24" s="1"/>
      <c r="R24" s="1"/>
      <c r="S24" s="1"/>
      <c r="T24" s="1"/>
    </row>
    <row r="25" spans="1:20" x14ac:dyDescent="0.2">
      <c r="B25" s="26" t="s">
        <v>18</v>
      </c>
      <c r="C25" s="8">
        <f t="shared" si="1"/>
        <v>0.12779552715654952</v>
      </c>
      <c r="D25" s="8">
        <f t="shared" si="1"/>
        <v>0.13059701492537312</v>
      </c>
      <c r="E25" s="8">
        <f t="shared" si="1"/>
        <v>9.1286307053941904E-2</v>
      </c>
      <c r="F25" s="8">
        <f t="shared" si="1"/>
        <v>6.968641114982578E-2</v>
      </c>
      <c r="G25" s="8">
        <f t="shared" si="1"/>
        <v>0.16314199395770393</v>
      </c>
      <c r="H25" s="8">
        <f t="shared" si="1"/>
        <v>9.6085409252669035E-2</v>
      </c>
      <c r="I25" s="8">
        <f t="shared" si="1"/>
        <v>7.3170731707317069E-2</v>
      </c>
      <c r="J25" s="8">
        <f t="shared" si="1"/>
        <v>8.069164265129683E-2</v>
      </c>
      <c r="K25" s="8">
        <f t="shared" si="1"/>
        <v>5.8659217877094973E-2</v>
      </c>
      <c r="L25" s="8">
        <f t="shared" si="1"/>
        <v>0.1417910447761194</v>
      </c>
      <c r="M25" s="8">
        <f t="shared" si="1"/>
        <v>8.0906148867313912E-2</v>
      </c>
      <c r="N25" s="8">
        <f t="shared" si="1"/>
        <v>0.10408921933085502</v>
      </c>
      <c r="O25" s="8">
        <f t="shared" si="1"/>
        <v>0.11254019292604502</v>
      </c>
      <c r="P25" s="8">
        <f t="shared" si="1"/>
        <v>0.14106583072100312</v>
      </c>
      <c r="Q25" s="1"/>
      <c r="R25" s="1"/>
      <c r="S25" s="1"/>
      <c r="T25" s="1"/>
    </row>
    <row r="26" spans="1:20" x14ac:dyDescent="0.2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  <c r="L26" s="1"/>
      <c r="M26" s="1"/>
      <c r="N26" s="1"/>
      <c r="O26" s="1"/>
      <c r="P26" s="1"/>
      <c r="Q26" s="1"/>
      <c r="R26" s="1"/>
      <c r="S26" s="1"/>
      <c r="T26" s="1"/>
    </row>
    <row r="27" spans="1:20" x14ac:dyDescent="0.2">
      <c r="A27" s="1"/>
      <c r="B27" s="1"/>
      <c r="C27" s="1"/>
      <c r="D27" s="47" t="s">
        <v>84</v>
      </c>
      <c r="E27" s="48"/>
      <c r="F27" s="26" t="s">
        <v>24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x14ac:dyDescent="0.2">
      <c r="A28" s="2" t="s">
        <v>81</v>
      </c>
      <c r="B28" s="37" t="s">
        <v>26</v>
      </c>
      <c r="C28" s="46"/>
      <c r="D28" s="24">
        <v>1</v>
      </c>
      <c r="E28" s="23">
        <v>3.3220000000000001</v>
      </c>
      <c r="F28" s="24">
        <v>8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x14ac:dyDescent="0.2">
      <c r="B30" s="26" t="s">
        <v>22</v>
      </c>
      <c r="C30" s="8">
        <f>MAX(C18:C25)</f>
        <v>0.14376996805111822</v>
      </c>
      <c r="D30" s="8">
        <f t="shared" ref="D30:O30" si="2">MAX(D18:D25)</f>
        <v>0.15298507462686567</v>
      </c>
      <c r="E30" s="8">
        <f t="shared" si="2"/>
        <v>0.16597510373443983</v>
      </c>
      <c r="F30" s="8">
        <f t="shared" si="2"/>
        <v>0.19163763066202091</v>
      </c>
      <c r="G30" s="8">
        <f t="shared" si="2"/>
        <v>0.1782477341389728</v>
      </c>
      <c r="H30" s="8">
        <f t="shared" si="2"/>
        <v>0.1708185053380783</v>
      </c>
      <c r="I30" s="8">
        <f t="shared" si="2"/>
        <v>0.16463414634146342</v>
      </c>
      <c r="J30" s="8">
        <f t="shared" si="2"/>
        <v>0.16714697406340057</v>
      </c>
      <c r="K30" s="8">
        <f t="shared" si="2"/>
        <v>0.14804469273743018</v>
      </c>
      <c r="L30" s="8">
        <f t="shared" si="2"/>
        <v>0.15671641791044777</v>
      </c>
      <c r="M30" s="8">
        <f t="shared" si="2"/>
        <v>0.1553398058252427</v>
      </c>
      <c r="N30" s="8">
        <f t="shared" si="2"/>
        <v>0.15985130111524162</v>
      </c>
      <c r="O30" s="8">
        <f t="shared" si="2"/>
        <v>0.18006430868167203</v>
      </c>
      <c r="P30" s="8">
        <f>MAX(P18:P25)</f>
        <v>0.18808777429467086</v>
      </c>
      <c r="Q30" s="1"/>
      <c r="R30" s="1"/>
      <c r="S30" s="1"/>
      <c r="T30" s="1"/>
    </row>
    <row r="31" spans="1:20" x14ac:dyDescent="0.2">
      <c r="B31" s="26" t="s">
        <v>23</v>
      </c>
      <c r="C31" s="8">
        <f>MIN(C18:C25)</f>
        <v>8.9456869009584661E-2</v>
      </c>
      <c r="D31" s="8">
        <f t="shared" ref="D31:P31" si="3">MIN(D18:D25)</f>
        <v>7.8358208955223885E-2</v>
      </c>
      <c r="E31" s="8">
        <f t="shared" si="3"/>
        <v>9.1286307053941904E-2</v>
      </c>
      <c r="F31" s="8">
        <f t="shared" si="3"/>
        <v>4.5296167247386762E-2</v>
      </c>
      <c r="G31" s="8">
        <f t="shared" si="3"/>
        <v>9.0634441087613288E-2</v>
      </c>
      <c r="H31" s="8">
        <f t="shared" si="3"/>
        <v>7.8291814946619215E-2</v>
      </c>
      <c r="I31" s="8">
        <f t="shared" si="3"/>
        <v>7.3170731707317069E-2</v>
      </c>
      <c r="J31" s="8">
        <f t="shared" si="3"/>
        <v>8.069164265129683E-2</v>
      </c>
      <c r="K31" s="8">
        <f t="shared" si="3"/>
        <v>5.8659217877094973E-2</v>
      </c>
      <c r="L31" s="8">
        <f t="shared" si="3"/>
        <v>4.4776119402985072E-2</v>
      </c>
      <c r="M31" s="8">
        <f t="shared" si="3"/>
        <v>8.0906148867313912E-2</v>
      </c>
      <c r="N31" s="8">
        <f t="shared" si="3"/>
        <v>9.2936802973977689E-2</v>
      </c>
      <c r="O31" s="8">
        <f t="shared" si="3"/>
        <v>8.0385852090032156E-2</v>
      </c>
      <c r="P31" s="8">
        <f t="shared" si="3"/>
        <v>7.5235109717868343E-2</v>
      </c>
      <c r="Q31" s="1"/>
      <c r="R31" s="1"/>
      <c r="S31" s="1"/>
      <c r="T31" s="1"/>
    </row>
    <row r="32" spans="1:20" x14ac:dyDescent="0.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5"/>
      <c r="S34" s="1"/>
      <c r="T34" s="1"/>
    </row>
    <row r="35" spans="1:20" x14ac:dyDescent="0.2">
      <c r="A35" s="1"/>
      <c r="B35" s="1"/>
      <c r="C35" s="26" t="s">
        <v>2</v>
      </c>
      <c r="D35" s="26" t="s">
        <v>3</v>
      </c>
      <c r="E35" s="26" t="s">
        <v>4</v>
      </c>
      <c r="F35" s="26" t="s">
        <v>5</v>
      </c>
      <c r="G35" s="26" t="s">
        <v>6</v>
      </c>
      <c r="H35" s="26" t="s">
        <v>7</v>
      </c>
      <c r="I35" s="26" t="s">
        <v>8</v>
      </c>
      <c r="J35" s="26" t="s">
        <v>9</v>
      </c>
      <c r="K35" s="26" t="s">
        <v>10</v>
      </c>
      <c r="L35" s="26" t="s">
        <v>55</v>
      </c>
      <c r="M35" s="26" t="s">
        <v>56</v>
      </c>
      <c r="N35" s="26" t="s">
        <v>57</v>
      </c>
      <c r="O35" s="26" t="s">
        <v>58</v>
      </c>
      <c r="P35" s="26" t="s">
        <v>59</v>
      </c>
      <c r="Q35" s="1"/>
      <c r="R35" s="15"/>
      <c r="S35" s="1"/>
      <c r="T35" s="1"/>
    </row>
    <row r="36" spans="1:20" x14ac:dyDescent="0.2">
      <c r="A36" s="1"/>
      <c r="B36" s="26" t="s">
        <v>20</v>
      </c>
      <c r="C36" s="8">
        <f t="shared" ref="C36:P36" si="4">(C30-C31)/($D$28+($E$28*LOG10($F$28)))</f>
        <v>1.3578054331577086E-2</v>
      </c>
      <c r="D36" s="8">
        <f t="shared" si="4"/>
        <v>1.865641354602119E-2</v>
      </c>
      <c r="E36" s="8">
        <f t="shared" si="4"/>
        <v>1.8671896046889257E-2</v>
      </c>
      <c r="F36" s="8">
        <f t="shared" si="4"/>
        <v>3.6584771929270829E-2</v>
      </c>
      <c r="G36" s="8">
        <f t="shared" si="4"/>
        <v>2.1902967685751763E-2</v>
      </c>
      <c r="H36" s="8">
        <f t="shared" si="4"/>
        <v>2.3131297079835526E-2</v>
      </c>
      <c r="I36" s="8">
        <f t="shared" si="4"/>
        <v>2.2865482455794266E-2</v>
      </c>
      <c r="J36" s="8">
        <f t="shared" si="4"/>
        <v>2.1613481975505815E-2</v>
      </c>
      <c r="K36" s="8">
        <f t="shared" si="4"/>
        <v>2.2346005945625386E-2</v>
      </c>
      <c r="L36" s="8">
        <f t="shared" si="4"/>
        <v>2.7984620319031789E-2</v>
      </c>
      <c r="M36" s="8">
        <f t="shared" si="4"/>
        <v>1.8608112151727283E-2</v>
      </c>
      <c r="N36" s="8">
        <f t="shared" si="4"/>
        <v>1.6728352963941675E-2</v>
      </c>
      <c r="O36" s="8">
        <f t="shared" si="4"/>
        <v>2.4919209604556923E-2</v>
      </c>
      <c r="P36" s="8">
        <f t="shared" si="4"/>
        <v>2.8212708133544272E-2</v>
      </c>
      <c r="Q36" s="1"/>
      <c r="R36" s="1"/>
      <c r="S36" s="1"/>
      <c r="T36" s="1"/>
    </row>
    <row r="37" spans="1:20" x14ac:dyDescent="0.2">
      <c r="A37" s="1" t="s">
        <v>31</v>
      </c>
      <c r="B37" s="26" t="s">
        <v>28</v>
      </c>
      <c r="C37" s="3">
        <f>C36^2</f>
        <v>1.8436355943125926E-4</v>
      </c>
      <c r="D37" s="3">
        <f t="shared" ref="D37:P37" si="5">D36^2</f>
        <v>3.4806176640016294E-4</v>
      </c>
      <c r="E37" s="3">
        <f t="shared" si="5"/>
        <v>3.4863970198583863E-4</v>
      </c>
      <c r="F37" s="3">
        <f t="shared" si="5"/>
        <v>1.3384455371167629E-3</v>
      </c>
      <c r="G37" s="3">
        <f t="shared" si="5"/>
        <v>4.7973999344308596E-4</v>
      </c>
      <c r="H37" s="3">
        <f t="shared" si="5"/>
        <v>5.3505690459560752E-4</v>
      </c>
      <c r="I37" s="3">
        <f t="shared" si="5"/>
        <v>5.2283028793623535E-4</v>
      </c>
      <c r="J37" s="3">
        <f t="shared" si="5"/>
        <v>4.6714260310551478E-4</v>
      </c>
      <c r="K37" s="3">
        <f t="shared" si="5"/>
        <v>4.9934398172192507E-4</v>
      </c>
      <c r="L37" s="3">
        <f t="shared" si="5"/>
        <v>7.8313897440036688E-4</v>
      </c>
      <c r="M37" s="3">
        <f t="shared" si="5"/>
        <v>3.4626183785126059E-4</v>
      </c>
      <c r="N37" s="3">
        <f t="shared" si="5"/>
        <v>2.7983779288621622E-4</v>
      </c>
      <c r="O37" s="3">
        <f t="shared" si="5"/>
        <v>6.2096700731584199E-4</v>
      </c>
      <c r="P37" s="3">
        <f t="shared" si="5"/>
        <v>7.9595690022855512E-4</v>
      </c>
      <c r="Q37" s="1"/>
      <c r="R37" s="1"/>
      <c r="S37" s="1"/>
      <c r="T37" s="1"/>
    </row>
    <row r="38" spans="1:2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x14ac:dyDescent="0.2">
      <c r="A39" s="2" t="s">
        <v>85</v>
      </c>
      <c r="B39" s="37" t="s">
        <v>86</v>
      </c>
      <c r="C39" s="37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x14ac:dyDescent="0.2">
      <c r="A41" s="1"/>
      <c r="B41" s="1"/>
      <c r="C41" s="26" t="s">
        <v>2</v>
      </c>
      <c r="D41" s="26" t="s">
        <v>3</v>
      </c>
      <c r="E41" s="26" t="s">
        <v>4</v>
      </c>
      <c r="F41" s="26" t="s">
        <v>5</v>
      </c>
      <c r="G41" s="26" t="s">
        <v>6</v>
      </c>
      <c r="H41" s="26" t="s">
        <v>7</v>
      </c>
      <c r="I41" s="26" t="s">
        <v>8</v>
      </c>
      <c r="J41" s="26" t="s">
        <v>9</v>
      </c>
      <c r="K41" s="26" t="s">
        <v>10</v>
      </c>
      <c r="L41" s="26" t="s">
        <v>55</v>
      </c>
      <c r="M41" s="26" t="s">
        <v>56</v>
      </c>
      <c r="N41" s="26" t="s">
        <v>57</v>
      </c>
      <c r="O41" s="26" t="s">
        <v>58</v>
      </c>
      <c r="P41" s="26" t="s">
        <v>59</v>
      </c>
      <c r="Q41" s="1"/>
      <c r="R41" s="1"/>
      <c r="S41" s="1"/>
      <c r="T41" s="1"/>
    </row>
    <row r="42" spans="1:20" x14ac:dyDescent="0.2">
      <c r="A42" s="1"/>
      <c r="B42" s="26" t="s">
        <v>104</v>
      </c>
      <c r="C42" s="8">
        <f t="shared" ref="C42:P42" si="6">SUM(C18:C25) / (($F$28 - $D$28) * C36)</f>
        <v>10.521179203482392</v>
      </c>
      <c r="D42" s="8">
        <f t="shared" si="6"/>
        <v>7.6572671647069948</v>
      </c>
      <c r="E42" s="8">
        <f t="shared" si="6"/>
        <v>7.6509178552835237</v>
      </c>
      <c r="F42" s="8">
        <f t="shared" si="6"/>
        <v>3.9048252954351588</v>
      </c>
      <c r="G42" s="8">
        <f t="shared" si="6"/>
        <v>6.5222733698353466</v>
      </c>
      <c r="H42" s="8">
        <f t="shared" si="6"/>
        <v>6.1759244353693044</v>
      </c>
      <c r="I42" s="8">
        <f t="shared" si="6"/>
        <v>6.2477204726962539</v>
      </c>
      <c r="J42" s="8">
        <f t="shared" si="6"/>
        <v>6.6096311098341465</v>
      </c>
      <c r="K42" s="8">
        <f t="shared" si="6"/>
        <v>6.3929609257581701</v>
      </c>
      <c r="L42" s="8">
        <f t="shared" si="6"/>
        <v>5.1048447764713298</v>
      </c>
      <c r="M42" s="8">
        <f t="shared" si="6"/>
        <v>7.6771432637717769</v>
      </c>
      <c r="N42" s="8">
        <f t="shared" si="6"/>
        <v>8.5398211745695747</v>
      </c>
      <c r="O42" s="8">
        <f t="shared" si="6"/>
        <v>5.7328119600959919</v>
      </c>
      <c r="P42" s="8">
        <f t="shared" si="6"/>
        <v>5.0635742652187625</v>
      </c>
      <c r="Q42" s="1"/>
      <c r="R42" s="1"/>
      <c r="S42" s="1"/>
      <c r="T42" s="1"/>
    </row>
    <row r="43" spans="1:2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x14ac:dyDescent="0.2">
      <c r="A45" s="1" t="s">
        <v>27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x14ac:dyDescent="0.2">
      <c r="A46" s="2" t="s">
        <v>87</v>
      </c>
      <c r="B46" s="37" t="s">
        <v>88</v>
      </c>
      <c r="C46" s="37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x14ac:dyDescent="0.2">
      <c r="A48" s="1"/>
      <c r="B48" s="26" t="s">
        <v>29</v>
      </c>
      <c r="C48" s="26" t="s">
        <v>2</v>
      </c>
      <c r="D48" s="26" t="s">
        <v>3</v>
      </c>
      <c r="E48" s="26" t="s">
        <v>4</v>
      </c>
      <c r="F48" s="26" t="s">
        <v>5</v>
      </c>
      <c r="G48" s="26" t="s">
        <v>6</v>
      </c>
      <c r="H48" s="26" t="s">
        <v>7</v>
      </c>
      <c r="I48" s="26" t="s">
        <v>8</v>
      </c>
      <c r="J48" s="26" t="s">
        <v>9</v>
      </c>
      <c r="K48" s="26" t="s">
        <v>10</v>
      </c>
      <c r="L48" s="26" t="s">
        <v>55</v>
      </c>
      <c r="M48" s="26" t="s">
        <v>56</v>
      </c>
      <c r="N48" s="26" t="s">
        <v>57</v>
      </c>
      <c r="O48" s="26" t="s">
        <v>58</v>
      </c>
      <c r="P48" s="26" t="s">
        <v>59</v>
      </c>
      <c r="Q48" s="1"/>
      <c r="R48" s="1"/>
      <c r="S48" s="1"/>
      <c r="T48" s="1"/>
    </row>
    <row r="49" spans="1:20" x14ac:dyDescent="0.2">
      <c r="A49" s="1"/>
      <c r="B49" s="26" t="s">
        <v>11</v>
      </c>
      <c r="C49" s="8">
        <f>SQRT((C19-C18)^2 + C$37)</f>
        <v>1.3578054331577086E-2</v>
      </c>
      <c r="D49" s="8">
        <f t="shared" ref="D49:P49" si="7">SQRT((D19-D18)^2 + D$37)</f>
        <v>2.0093617324909309E-2</v>
      </c>
      <c r="E49" s="8">
        <f t="shared" si="7"/>
        <v>2.0433037944343566E-2</v>
      </c>
      <c r="F49" s="8">
        <f t="shared" si="7"/>
        <v>3.8048783749851593E-2</v>
      </c>
      <c r="G49" s="8">
        <f t="shared" si="7"/>
        <v>4.4969541755162823E-2</v>
      </c>
      <c r="H49" s="8">
        <f t="shared" si="7"/>
        <v>2.3403448133314436E-2</v>
      </c>
      <c r="I49" s="8">
        <f t="shared" si="7"/>
        <v>2.2865482455794266E-2</v>
      </c>
      <c r="J49" s="8">
        <f t="shared" si="7"/>
        <v>4.3251499068348596E-2</v>
      </c>
      <c r="K49" s="8">
        <f t="shared" si="7"/>
        <v>2.2346005945625386E-2</v>
      </c>
      <c r="L49" s="8">
        <f t="shared" si="7"/>
        <v>7.6218856387879785E-2</v>
      </c>
      <c r="M49" s="8">
        <f t="shared" si="7"/>
        <v>2.0988602353768961E-2</v>
      </c>
      <c r="N49" s="8">
        <f t="shared" si="7"/>
        <v>2.5006554476120324E-2</v>
      </c>
      <c r="O49" s="8">
        <f t="shared" si="7"/>
        <v>2.8042668718429774E-2</v>
      </c>
      <c r="P49" s="8">
        <f t="shared" si="7"/>
        <v>4.2174063661920828E-2</v>
      </c>
      <c r="Q49" s="1"/>
      <c r="R49" s="1"/>
      <c r="S49" s="1"/>
      <c r="T49" s="1"/>
    </row>
    <row r="50" spans="1:20" x14ac:dyDescent="0.2">
      <c r="A50" s="1"/>
      <c r="B50" s="26" t="s">
        <v>12</v>
      </c>
      <c r="C50" s="8">
        <f t="shared" ref="C50:P50" si="8">SQRT((C20-C19)^2 + C$37)</f>
        <v>1.8646193366032196E-2</v>
      </c>
      <c r="D50" s="8">
        <f t="shared" si="8"/>
        <v>2.3892018114824332E-2</v>
      </c>
      <c r="E50" s="8">
        <f t="shared" si="8"/>
        <v>6.8965769128830359E-2</v>
      </c>
      <c r="F50" s="8">
        <f t="shared" si="8"/>
        <v>0.1107469471802159</v>
      </c>
      <c r="G50" s="8">
        <f t="shared" si="8"/>
        <v>8.154642090458708E-2</v>
      </c>
      <c r="H50" s="8">
        <f t="shared" si="8"/>
        <v>3.1479805942672898E-2</v>
      </c>
      <c r="I50" s="8">
        <f t="shared" si="8"/>
        <v>7.6660200016177946E-2</v>
      </c>
      <c r="J50" s="8">
        <f t="shared" si="8"/>
        <v>2.4495367636174038E-2</v>
      </c>
      <c r="K50" s="8">
        <f t="shared" si="8"/>
        <v>2.3865592578201596E-2</v>
      </c>
      <c r="L50" s="8">
        <f t="shared" si="8"/>
        <v>4.6641518461491831E-2</v>
      </c>
      <c r="M50" s="8">
        <f t="shared" si="8"/>
        <v>2.4659562746181429E-2</v>
      </c>
      <c r="N50" s="8">
        <f t="shared" si="8"/>
        <v>1.8306178976159111E-2</v>
      </c>
      <c r="O50" s="8">
        <f t="shared" si="8"/>
        <v>5.1453029173498338E-2</v>
      </c>
      <c r="P50" s="8">
        <f t="shared" si="8"/>
        <v>6.5905120678109483E-2</v>
      </c>
      <c r="Q50" s="1"/>
      <c r="R50" s="1"/>
      <c r="S50" s="1"/>
      <c r="T50" s="1"/>
    </row>
    <row r="51" spans="1:20" x14ac:dyDescent="0.2">
      <c r="A51" s="1"/>
      <c r="B51" s="26" t="s">
        <v>13</v>
      </c>
      <c r="C51" s="8">
        <f t="shared" ref="C51:P51" si="9">SQRT((C21-C20)^2 + C$37)</f>
        <v>1.8646193366032196E-2</v>
      </c>
      <c r="D51" s="8">
        <f t="shared" si="9"/>
        <v>1.902589522466935E-2</v>
      </c>
      <c r="E51" s="8">
        <f t="shared" si="9"/>
        <v>1.9127389691176493E-2</v>
      </c>
      <c r="F51" s="8">
        <f t="shared" si="9"/>
        <v>4.3969643331931041E-2</v>
      </c>
      <c r="G51" s="8">
        <f t="shared" si="9"/>
        <v>3.4914956185807394E-2</v>
      </c>
      <c r="H51" s="8">
        <f t="shared" si="9"/>
        <v>2.547620898002274E-2</v>
      </c>
      <c r="I51" s="8">
        <f t="shared" si="9"/>
        <v>2.7481027082456883E-2</v>
      </c>
      <c r="J51" s="8">
        <f t="shared" si="9"/>
        <v>2.1804761639109421E-2</v>
      </c>
      <c r="K51" s="8">
        <f t="shared" si="9"/>
        <v>2.3865592578201585E-2</v>
      </c>
      <c r="L51" s="8">
        <f t="shared" si="9"/>
        <v>3.0140425987363974E-2</v>
      </c>
      <c r="M51" s="8">
        <f t="shared" si="9"/>
        <v>2.0988602353768971E-2</v>
      </c>
      <c r="N51" s="8">
        <f t="shared" si="9"/>
        <v>2.5006554476120341E-2</v>
      </c>
      <c r="O51" s="8">
        <f t="shared" si="9"/>
        <v>2.5125803940607091E-2</v>
      </c>
      <c r="P51" s="8">
        <f t="shared" si="9"/>
        <v>3.5741814804775104E-2</v>
      </c>
      <c r="Q51" s="1"/>
      <c r="R51" s="1"/>
      <c r="S51" s="1"/>
      <c r="T51" s="1"/>
    </row>
    <row r="52" spans="1:20" x14ac:dyDescent="0.2">
      <c r="A52" s="1"/>
      <c r="B52" s="26" t="s">
        <v>14</v>
      </c>
      <c r="C52" s="8">
        <f t="shared" ref="C52:P52" si="10">SQRT((C22-C21)^2 + C$37)</f>
        <v>4.6743945198076273E-2</v>
      </c>
      <c r="D52" s="8">
        <f t="shared" si="10"/>
        <v>2.6384367225660208E-2</v>
      </c>
      <c r="E52" s="8">
        <f t="shared" si="10"/>
        <v>2.498233481046996E-2</v>
      </c>
      <c r="F52" s="8">
        <f t="shared" si="10"/>
        <v>3.7242549538212183E-2</v>
      </c>
      <c r="G52" s="8">
        <f t="shared" si="10"/>
        <v>3.044633690338016E-2</v>
      </c>
      <c r="H52" s="8">
        <f t="shared" si="10"/>
        <v>6.1458634604726489E-2</v>
      </c>
      <c r="I52" s="8">
        <f t="shared" si="10"/>
        <v>3.8109533377072596E-2</v>
      </c>
      <c r="J52" s="8">
        <f t="shared" si="10"/>
        <v>3.1601650798791292E-2</v>
      </c>
      <c r="K52" s="8">
        <f t="shared" si="10"/>
        <v>2.6351594976326009E-2</v>
      </c>
      <c r="L52" s="8">
        <f t="shared" si="10"/>
        <v>3.1716017051314896E-2</v>
      </c>
      <c r="M52" s="8">
        <f t="shared" si="10"/>
        <v>1.8887433010616468E-2</v>
      </c>
      <c r="N52" s="8">
        <f t="shared" si="10"/>
        <v>3.7406220181415283E-2</v>
      </c>
      <c r="O52" s="8">
        <f t="shared" si="10"/>
        <v>3.1514625109166319E-2</v>
      </c>
      <c r="P52" s="8">
        <f t="shared" si="10"/>
        <v>2.8212708133544272E-2</v>
      </c>
      <c r="Q52" s="1"/>
      <c r="R52" s="1"/>
      <c r="S52" s="1"/>
      <c r="T52" s="1"/>
    </row>
    <row r="53" spans="1:20" x14ac:dyDescent="0.2">
      <c r="A53" s="1"/>
      <c r="B53" s="26" t="s">
        <v>15</v>
      </c>
      <c r="C53" s="8">
        <f t="shared" ref="C53:P53" si="11">SQRT((C23-C22)^2 + C$37)</f>
        <v>1.6620149028005852E-2</v>
      </c>
      <c r="D53" s="8">
        <f t="shared" si="11"/>
        <v>3.5201261613696251E-2</v>
      </c>
      <c r="E53" s="8">
        <f t="shared" si="11"/>
        <v>5.7082126954610075E-2</v>
      </c>
      <c r="F53" s="8">
        <f t="shared" si="11"/>
        <v>4.2136719948538869E-2</v>
      </c>
      <c r="G53" s="8">
        <f t="shared" si="11"/>
        <v>2.3704134925276777E-2</v>
      </c>
      <c r="H53" s="8">
        <f t="shared" si="11"/>
        <v>4.244413855774154E-2</v>
      </c>
      <c r="I53" s="8">
        <f t="shared" si="11"/>
        <v>2.2865482455794266E-2</v>
      </c>
      <c r="J53" s="8">
        <f t="shared" si="11"/>
        <v>2.1613481975505815E-2</v>
      </c>
      <c r="K53" s="8">
        <f t="shared" si="11"/>
        <v>2.3033757702420811E-2</v>
      </c>
      <c r="L53" s="8">
        <f t="shared" si="11"/>
        <v>2.8962573525156559E-2</v>
      </c>
      <c r="M53" s="8">
        <f t="shared" si="11"/>
        <v>1.9701649407303855E-2</v>
      </c>
      <c r="N53" s="8">
        <f t="shared" si="11"/>
        <v>3.0935386561232653E-2</v>
      </c>
      <c r="O53" s="8">
        <f t="shared" si="11"/>
        <v>2.4919209604556923E-2</v>
      </c>
      <c r="P53" s="8">
        <f t="shared" si="11"/>
        <v>5.4836302552905086E-2</v>
      </c>
      <c r="Q53" s="1"/>
      <c r="R53" s="1"/>
      <c r="S53" s="1"/>
      <c r="T53" s="1"/>
    </row>
    <row r="54" spans="1:20" x14ac:dyDescent="0.2">
      <c r="A54" s="1"/>
      <c r="B54" s="26" t="s">
        <v>16</v>
      </c>
      <c r="C54" s="8">
        <f t="shared" ref="C54:P54" si="12">SQRT((C24-C23)^2 + C$37)</f>
        <v>3.4714472587201055E-2</v>
      </c>
      <c r="D54" s="8">
        <f t="shared" si="12"/>
        <v>5.197148932529131E-2</v>
      </c>
      <c r="E54" s="8">
        <f t="shared" si="12"/>
        <v>4.5501353202014434E-2</v>
      </c>
      <c r="F54" s="8">
        <f t="shared" si="12"/>
        <v>6.0975253403316172E-2</v>
      </c>
      <c r="G54" s="8">
        <f t="shared" si="12"/>
        <v>2.2721120907009104E-2</v>
      </c>
      <c r="H54" s="8">
        <f t="shared" si="12"/>
        <v>3.6682197593874158E-2</v>
      </c>
      <c r="I54" s="8">
        <f t="shared" si="12"/>
        <v>2.3067842343813934E-2</v>
      </c>
      <c r="J54" s="8">
        <f t="shared" si="12"/>
        <v>5.3547132655287148E-2</v>
      </c>
      <c r="K54" s="8">
        <f t="shared" si="12"/>
        <v>5.5021404631708633E-2</v>
      </c>
      <c r="L54" s="8">
        <f t="shared" si="12"/>
        <v>4.6641518461491845E-2</v>
      </c>
      <c r="M54" s="8">
        <f t="shared" si="12"/>
        <v>4.8979855677482267E-2</v>
      </c>
      <c r="N54" s="8">
        <f t="shared" si="12"/>
        <v>1.7136434630384893E-2</v>
      </c>
      <c r="O54" s="8">
        <f t="shared" si="12"/>
        <v>3.5814299566777397E-2</v>
      </c>
      <c r="P54" s="8">
        <f t="shared" si="12"/>
        <v>3.5741814804775104E-2</v>
      </c>
      <c r="Q54" s="1"/>
      <c r="R54" s="1"/>
      <c r="S54" s="1"/>
      <c r="T54" s="1"/>
    </row>
    <row r="55" spans="1:20" x14ac:dyDescent="0.2">
      <c r="A55" s="1"/>
      <c r="B55" s="26" t="s">
        <v>17</v>
      </c>
      <c r="C55" s="8">
        <f t="shared" ref="C55:P55" si="13">SQRT((C25-C24)^2 + C$37)</f>
        <v>1.5006425334979354E-2</v>
      </c>
      <c r="D55" s="8">
        <f t="shared" si="13"/>
        <v>1.902589522466935E-2</v>
      </c>
      <c r="E55" s="8">
        <f t="shared" si="13"/>
        <v>4.9314674954545543E-2</v>
      </c>
      <c r="F55" s="8">
        <f t="shared" si="13"/>
        <v>6.3796988410676214E-2</v>
      </c>
      <c r="G55" s="8">
        <f t="shared" si="13"/>
        <v>7.5743549010143935E-2</v>
      </c>
      <c r="H55" s="8">
        <f t="shared" si="13"/>
        <v>2.5476208980022747E-2</v>
      </c>
      <c r="I55" s="8">
        <f t="shared" si="13"/>
        <v>9.1323479013710643E-2</v>
      </c>
      <c r="J55" s="8">
        <f t="shared" si="13"/>
        <v>2.5976302256616311E-2</v>
      </c>
      <c r="K55" s="8">
        <f t="shared" si="13"/>
        <v>3.7992721012347137E-2</v>
      </c>
      <c r="L55" s="8">
        <f t="shared" si="13"/>
        <v>3.171601705131491E-2</v>
      </c>
      <c r="M55" s="8">
        <f t="shared" si="13"/>
        <v>1.8887433010616465E-2</v>
      </c>
      <c r="N55" s="8">
        <f t="shared" si="13"/>
        <v>1.8306178976159101E-2</v>
      </c>
      <c r="O55" s="8">
        <f t="shared" si="13"/>
        <v>4.0680076719621934E-2</v>
      </c>
      <c r="P55" s="8">
        <f t="shared" si="13"/>
        <v>2.8386332057591855E-2</v>
      </c>
      <c r="Q55" s="1"/>
      <c r="R55" s="1"/>
      <c r="S55" s="1"/>
      <c r="T55" s="1"/>
    </row>
    <row r="56" spans="1:20" x14ac:dyDescent="0.2">
      <c r="A56" s="1"/>
      <c r="B56" s="26" t="s">
        <v>18</v>
      </c>
      <c r="C56" s="8">
        <f t="shared" ref="C56:P56" si="14">SQRT((C26-C25)^2 + C$37)</f>
        <v>0.1285148252951839</v>
      </c>
      <c r="D56" s="8">
        <f t="shared" si="14"/>
        <v>0.13192286410557608</v>
      </c>
      <c r="E56" s="8">
        <f t="shared" si="14"/>
        <v>9.3176335823707962E-2</v>
      </c>
      <c r="F56" s="8">
        <f t="shared" si="14"/>
        <v>7.8706044469655095E-2</v>
      </c>
      <c r="G56" s="8">
        <f t="shared" si="14"/>
        <v>0.16460574165544345</v>
      </c>
      <c r="H56" s="8">
        <f t="shared" si="14"/>
        <v>9.8830474934852475E-2</v>
      </c>
      <c r="I56" s="8">
        <f t="shared" si="14"/>
        <v>7.6660200016177946E-2</v>
      </c>
      <c r="J56" s="8">
        <f t="shared" si="14"/>
        <v>8.3536122706707544E-2</v>
      </c>
      <c r="K56" s="8">
        <f t="shared" si="14"/>
        <v>6.2771393354572144E-2</v>
      </c>
      <c r="L56" s="8">
        <f t="shared" si="14"/>
        <v>0.14452625835156691</v>
      </c>
      <c r="M56" s="8">
        <f t="shared" si="14"/>
        <v>8.3018472416632794E-2</v>
      </c>
      <c r="N56" s="8">
        <f t="shared" si="14"/>
        <v>0.10542487075540126</v>
      </c>
      <c r="O56" s="8">
        <f t="shared" si="14"/>
        <v>0.11526604890923986</v>
      </c>
      <c r="P56" s="8">
        <f t="shared" si="14"/>
        <v>0.14385939488693555</v>
      </c>
      <c r="Q56" s="1"/>
      <c r="R56" s="1"/>
      <c r="S56" s="1"/>
      <c r="T56" s="1"/>
    </row>
    <row r="57" spans="1:20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x14ac:dyDescent="0.2">
      <c r="A60" s="1"/>
      <c r="B60" s="26" t="s">
        <v>29</v>
      </c>
      <c r="C60" s="8">
        <f>SUM(C49:C56)</f>
        <v>0.29247025850708797</v>
      </c>
      <c r="D60" s="8">
        <f t="shared" ref="C60:P60" si="15">SUM(D49:D56)</f>
        <v>0.3275174081592962</v>
      </c>
      <c r="E60" s="8">
        <f t="shared" si="15"/>
        <v>0.37858302250969833</v>
      </c>
      <c r="F60" s="8">
        <f t="shared" si="15"/>
        <v>0.47562293003239708</v>
      </c>
      <c r="G60" s="8">
        <f t="shared" si="15"/>
        <v>0.47865180224681075</v>
      </c>
      <c r="H60" s="8">
        <f t="shared" si="15"/>
        <v>0.3452511177272275</v>
      </c>
      <c r="I60" s="8">
        <f t="shared" si="15"/>
        <v>0.37903324676099848</v>
      </c>
      <c r="J60" s="8">
        <f t="shared" si="15"/>
        <v>0.3058263187365402</v>
      </c>
      <c r="K60" s="8">
        <f t="shared" si="15"/>
        <v>0.27524806277940328</v>
      </c>
      <c r="L60" s="8">
        <f t="shared" si="15"/>
        <v>0.4365631852775807</v>
      </c>
      <c r="M60" s="8">
        <f t="shared" si="15"/>
        <v>0.2561116109763712</v>
      </c>
      <c r="N60" s="8">
        <f t="shared" si="15"/>
        <v>0.27752837903299299</v>
      </c>
      <c r="O60" s="8">
        <f t="shared" si="15"/>
        <v>0.35281576174189766</v>
      </c>
      <c r="P60" s="8">
        <f t="shared" si="15"/>
        <v>0.43485755158055722</v>
      </c>
      <c r="Q60" s="1"/>
      <c r="R60" s="1"/>
      <c r="S60" s="1"/>
      <c r="T60" s="1"/>
    </row>
    <row r="61" spans="1:20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x14ac:dyDescent="0.2">
      <c r="A62" s="2" t="s">
        <v>90</v>
      </c>
      <c r="B62" s="37" t="s">
        <v>89</v>
      </c>
      <c r="C62" s="37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x14ac:dyDescent="0.2">
      <c r="A64" s="1"/>
      <c r="B64" s="1"/>
      <c r="C64" s="26" t="s">
        <v>2</v>
      </c>
      <c r="D64" s="26" t="s">
        <v>3</v>
      </c>
      <c r="E64" s="26" t="s">
        <v>4</v>
      </c>
      <c r="F64" s="26" t="s">
        <v>5</v>
      </c>
      <c r="G64" s="26" t="s">
        <v>6</v>
      </c>
      <c r="H64" s="26" t="s">
        <v>7</v>
      </c>
      <c r="I64" s="26" t="s">
        <v>8</v>
      </c>
      <c r="J64" s="26" t="s">
        <v>9</v>
      </c>
      <c r="K64" s="26" t="s">
        <v>10</v>
      </c>
      <c r="L64" s="26" t="s">
        <v>55</v>
      </c>
      <c r="M64" s="26" t="s">
        <v>56</v>
      </c>
      <c r="N64" s="26" t="s">
        <v>57</v>
      </c>
      <c r="O64" s="26" t="s">
        <v>58</v>
      </c>
      <c r="P64" s="28" t="s">
        <v>59</v>
      </c>
      <c r="Q64" s="26" t="s">
        <v>30</v>
      </c>
      <c r="R64" s="1"/>
      <c r="S64" s="1"/>
      <c r="T64" s="1"/>
    </row>
    <row r="65" spans="1:20" x14ac:dyDescent="0.2">
      <c r="A65" s="1"/>
      <c r="B65" s="26" t="s">
        <v>32</v>
      </c>
      <c r="C65" s="8">
        <f>C60/C42</f>
        <v>2.7798239422657453E-2</v>
      </c>
      <c r="D65" s="8">
        <f t="shared" ref="C65:P65" si="16">D60/D42</f>
        <v>4.2772101470985917E-2</v>
      </c>
      <c r="E65" s="8">
        <f t="shared" si="16"/>
        <v>4.9482039889927561E-2</v>
      </c>
      <c r="F65" s="8">
        <f t="shared" si="16"/>
        <v>0.12180389493696749</v>
      </c>
      <c r="G65" s="8">
        <f t="shared" si="16"/>
        <v>7.3387264701371177E-2</v>
      </c>
      <c r="H65" s="8">
        <f t="shared" si="16"/>
        <v>5.590274319905638E-2</v>
      </c>
      <c r="I65" s="8">
        <f t="shared" si="16"/>
        <v>6.0667446377834451E-2</v>
      </c>
      <c r="J65" s="8">
        <f t="shared" si="16"/>
        <v>4.6269801393532567E-2</v>
      </c>
      <c r="K65" s="8">
        <f t="shared" si="16"/>
        <v>4.3054863931732912E-2</v>
      </c>
      <c r="L65" s="8">
        <f t="shared" si="16"/>
        <v>8.5519384896821565E-2</v>
      </c>
      <c r="M65" s="8">
        <f t="shared" si="16"/>
        <v>3.3360275062855042E-2</v>
      </c>
      <c r="N65" s="8">
        <f t="shared" si="16"/>
        <v>3.2498148773821484E-2</v>
      </c>
      <c r="O65" s="8">
        <f t="shared" si="16"/>
        <v>6.154322943046435E-2</v>
      </c>
      <c r="P65" s="16">
        <f t="shared" si="16"/>
        <v>8.5879564276869547E-2</v>
      </c>
      <c r="Q65" s="8">
        <f>SUM(C65:P65)</f>
        <v>0.81993899776489765</v>
      </c>
      <c r="R65" s="1" t="s">
        <v>34</v>
      </c>
      <c r="S65" s="1"/>
      <c r="T65" s="1"/>
    </row>
    <row r="66" spans="1:2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x14ac:dyDescent="0.2">
      <c r="A68" s="2" t="s">
        <v>92</v>
      </c>
      <c r="B68" s="37" t="s">
        <v>91</v>
      </c>
      <c r="C68" s="3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</row>
    <row r="69" spans="1:20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</row>
    <row r="70" spans="1:20" x14ac:dyDescent="0.2">
      <c r="A70" s="1"/>
      <c r="B70" s="1"/>
      <c r="C70" s="26" t="s">
        <v>60</v>
      </c>
      <c r="D70" s="26" t="s">
        <v>61</v>
      </c>
      <c r="E70" s="26" t="s">
        <v>62</v>
      </c>
      <c r="F70" s="26" t="s">
        <v>64</v>
      </c>
      <c r="G70" s="26" t="s">
        <v>66</v>
      </c>
      <c r="H70" s="26" t="s">
        <v>65</v>
      </c>
      <c r="I70" s="26" t="s">
        <v>67</v>
      </c>
      <c r="J70" s="26" t="s">
        <v>68</v>
      </c>
      <c r="K70" s="26" t="s">
        <v>69</v>
      </c>
      <c r="L70" s="26" t="s">
        <v>70</v>
      </c>
      <c r="M70" s="26" t="s">
        <v>71</v>
      </c>
      <c r="N70" s="26" t="s">
        <v>72</v>
      </c>
      <c r="O70" s="26" t="s">
        <v>73</v>
      </c>
      <c r="P70" s="28" t="s">
        <v>74</v>
      </c>
      <c r="Q70" s="26" t="s">
        <v>30</v>
      </c>
      <c r="R70" s="1"/>
      <c r="S70" s="1"/>
    </row>
    <row r="71" spans="1:20" x14ac:dyDescent="0.2">
      <c r="A71" s="1"/>
      <c r="B71" s="26" t="s">
        <v>33</v>
      </c>
      <c r="C71" s="8">
        <f>C65/$Q$65</f>
        <v>3.390281410987124E-2</v>
      </c>
      <c r="D71" s="8">
        <f t="shared" ref="C71:P71" si="17">D65/$Q$65</f>
        <v>5.216498006263879E-2</v>
      </c>
      <c r="E71" s="8">
        <f t="shared" si="17"/>
        <v>6.0348440584985591E-2</v>
      </c>
      <c r="F71" s="8">
        <f t="shared" si="17"/>
        <v>0.14855238654216626</v>
      </c>
      <c r="G71" s="8">
        <f t="shared" si="17"/>
        <v>8.9503322687931985E-2</v>
      </c>
      <c r="H71" s="8">
        <f t="shared" si="17"/>
        <v>6.8179149121390448E-2</v>
      </c>
      <c r="I71" s="8">
        <f t="shared" si="17"/>
        <v>7.3990195055010324E-2</v>
      </c>
      <c r="J71" s="8">
        <f t="shared" si="17"/>
        <v>5.6430785118967569E-2</v>
      </c>
      <c r="K71" s="8">
        <f t="shared" si="17"/>
        <v>5.2509837986847524E-2</v>
      </c>
      <c r="L71" s="8">
        <f t="shared" si="17"/>
        <v>0.10429969196481939</v>
      </c>
      <c r="M71" s="8">
        <f t="shared" si="17"/>
        <v>4.0686289045640055E-2</v>
      </c>
      <c r="N71" s="8">
        <f t="shared" si="17"/>
        <v>3.9634837301810749E-2</v>
      </c>
      <c r="O71" s="8">
        <f t="shared" si="17"/>
        <v>7.5058302627667842E-2</v>
      </c>
      <c r="P71" s="8">
        <f t="shared" si="17"/>
        <v>0.10473896779025252</v>
      </c>
      <c r="Q71" s="8">
        <f>SUM(C71:P71)</f>
        <v>1.0000000000000004</v>
      </c>
      <c r="R71" s="1" t="s">
        <v>78</v>
      </c>
      <c r="S71" s="1"/>
    </row>
    <row r="72" spans="1:20" x14ac:dyDescent="0.2">
      <c r="A72" s="1"/>
      <c r="B72" s="35" t="s">
        <v>77</v>
      </c>
      <c r="C72" s="9">
        <v>14</v>
      </c>
      <c r="D72" s="9">
        <v>11</v>
      </c>
      <c r="E72" s="9">
        <v>8</v>
      </c>
      <c r="F72" s="9">
        <v>1</v>
      </c>
      <c r="G72" s="9">
        <v>4</v>
      </c>
      <c r="H72" s="9">
        <v>7</v>
      </c>
      <c r="I72" s="9">
        <v>6</v>
      </c>
      <c r="J72" s="9">
        <v>9</v>
      </c>
      <c r="K72" s="9">
        <v>10</v>
      </c>
      <c r="L72" s="9">
        <v>3</v>
      </c>
      <c r="M72" s="9">
        <v>12</v>
      </c>
      <c r="N72" s="9">
        <v>13</v>
      </c>
      <c r="O72" s="9">
        <v>5</v>
      </c>
      <c r="P72" s="9">
        <v>2</v>
      </c>
      <c r="Q72" s="1"/>
      <c r="R72" s="1"/>
      <c r="S72" s="1"/>
    </row>
    <row r="73" spans="1:20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</row>
    <row r="74" spans="1:20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</row>
    <row r="75" spans="1:20" ht="24" x14ac:dyDescent="0.3">
      <c r="A75" s="50" t="s">
        <v>36</v>
      </c>
      <c r="B75" s="50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</row>
    <row r="76" spans="1:20" x14ac:dyDescent="0.2">
      <c r="A76" s="2" t="s">
        <v>79</v>
      </c>
      <c r="B76" s="37" t="s">
        <v>0</v>
      </c>
      <c r="C76" s="37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</row>
    <row r="77" spans="1:20" x14ac:dyDescent="0.2">
      <c r="A77" s="12"/>
      <c r="B77" s="1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 spans="1:20" x14ac:dyDescent="0.2">
      <c r="A78" s="1"/>
      <c r="B78" s="26" t="s">
        <v>1</v>
      </c>
      <c r="C78" s="26" t="s">
        <v>2</v>
      </c>
      <c r="D78" s="26" t="s">
        <v>3</v>
      </c>
      <c r="E78" s="26" t="s">
        <v>4</v>
      </c>
      <c r="F78" s="26" t="s">
        <v>5</v>
      </c>
      <c r="G78" s="26" t="s">
        <v>6</v>
      </c>
      <c r="H78" s="26" t="s">
        <v>7</v>
      </c>
      <c r="I78" s="26" t="s">
        <v>8</v>
      </c>
      <c r="J78" s="26" t="s">
        <v>9</v>
      </c>
      <c r="K78" s="26" t="s">
        <v>10</v>
      </c>
      <c r="L78" s="26" t="s">
        <v>55</v>
      </c>
      <c r="M78" s="26" t="s">
        <v>56</v>
      </c>
      <c r="N78" s="26" t="s">
        <v>57</v>
      </c>
      <c r="O78" s="26" t="s">
        <v>58</v>
      </c>
      <c r="P78" s="26" t="s">
        <v>59</v>
      </c>
      <c r="Q78" s="1"/>
      <c r="R78" s="1"/>
      <c r="S78" s="1"/>
    </row>
    <row r="79" spans="1:20" x14ac:dyDescent="0.2">
      <c r="A79" s="1"/>
      <c r="B79" s="26" t="s">
        <v>11</v>
      </c>
      <c r="C79" s="10">
        <v>45</v>
      </c>
      <c r="D79" s="10">
        <v>41</v>
      </c>
      <c r="E79" s="10">
        <v>25</v>
      </c>
      <c r="F79" s="10">
        <v>13</v>
      </c>
      <c r="G79" s="10">
        <v>46</v>
      </c>
      <c r="H79" s="10">
        <v>38</v>
      </c>
      <c r="I79" s="10">
        <v>25</v>
      </c>
      <c r="J79" s="10">
        <v>58</v>
      </c>
      <c r="K79" s="10">
        <v>53</v>
      </c>
      <c r="L79" s="10">
        <v>12</v>
      </c>
      <c r="M79" s="10">
        <v>48</v>
      </c>
      <c r="N79" s="10">
        <v>43</v>
      </c>
      <c r="O79" s="10">
        <v>56</v>
      </c>
      <c r="P79" s="10">
        <v>60</v>
      </c>
      <c r="Q79" s="1"/>
      <c r="R79" s="1"/>
      <c r="S79" s="1"/>
    </row>
    <row r="80" spans="1:20" x14ac:dyDescent="0.2">
      <c r="A80" s="1"/>
      <c r="B80" s="26" t="s">
        <v>12</v>
      </c>
      <c r="C80" s="10">
        <v>45</v>
      </c>
      <c r="D80" s="10">
        <v>39</v>
      </c>
      <c r="E80" s="10">
        <v>23</v>
      </c>
      <c r="F80" s="10">
        <v>16</v>
      </c>
      <c r="G80" s="10">
        <v>59</v>
      </c>
      <c r="H80" s="10">
        <v>39</v>
      </c>
      <c r="I80" s="10">
        <v>25</v>
      </c>
      <c r="J80" s="10">
        <v>45</v>
      </c>
      <c r="K80" s="10">
        <v>53</v>
      </c>
      <c r="L80" s="10">
        <v>31</v>
      </c>
      <c r="M80" s="10">
        <v>45</v>
      </c>
      <c r="N80" s="10">
        <v>38</v>
      </c>
      <c r="O80" s="10">
        <v>52</v>
      </c>
      <c r="P80" s="10">
        <v>50</v>
      </c>
      <c r="Q80" s="1"/>
      <c r="R80" s="1"/>
      <c r="S80" s="1"/>
    </row>
    <row r="81" spans="1:20" x14ac:dyDescent="0.2">
      <c r="A81" s="1"/>
      <c r="B81" s="26" t="s">
        <v>13</v>
      </c>
      <c r="C81" s="10">
        <v>41</v>
      </c>
      <c r="D81" s="10">
        <v>35</v>
      </c>
      <c r="E81" s="10">
        <v>39</v>
      </c>
      <c r="F81" s="10">
        <v>46</v>
      </c>
      <c r="G81" s="10">
        <v>33</v>
      </c>
      <c r="H81" s="10">
        <v>45</v>
      </c>
      <c r="I81" s="10">
        <v>49</v>
      </c>
      <c r="J81" s="10">
        <v>41</v>
      </c>
      <c r="K81" s="10">
        <v>50</v>
      </c>
      <c r="L81" s="10">
        <v>41</v>
      </c>
      <c r="M81" s="10">
        <v>40</v>
      </c>
      <c r="N81" s="10">
        <v>36</v>
      </c>
      <c r="O81" s="10">
        <v>38</v>
      </c>
      <c r="P81" s="10">
        <v>31</v>
      </c>
      <c r="Q81" s="1"/>
      <c r="R81" s="1"/>
      <c r="S81" s="1"/>
    </row>
    <row r="82" spans="1:20" x14ac:dyDescent="0.2">
      <c r="A82" s="1"/>
      <c r="B82" s="26" t="s">
        <v>14</v>
      </c>
      <c r="C82" s="10">
        <v>45</v>
      </c>
      <c r="D82" s="10">
        <v>34</v>
      </c>
      <c r="E82" s="10">
        <v>40</v>
      </c>
      <c r="F82" s="10">
        <v>53</v>
      </c>
      <c r="G82" s="10">
        <v>42</v>
      </c>
      <c r="H82" s="10">
        <v>48</v>
      </c>
      <c r="I82" s="10">
        <v>44</v>
      </c>
      <c r="J82" s="10">
        <v>42</v>
      </c>
      <c r="K82" s="10">
        <v>47</v>
      </c>
      <c r="L82" s="10">
        <v>38</v>
      </c>
      <c r="M82" s="10">
        <v>43</v>
      </c>
      <c r="N82" s="10">
        <v>41</v>
      </c>
      <c r="O82" s="10">
        <v>39</v>
      </c>
      <c r="P82" s="10">
        <v>24</v>
      </c>
      <c r="Q82" s="1"/>
      <c r="R82" s="1"/>
      <c r="S82" s="1"/>
    </row>
    <row r="83" spans="1:20" x14ac:dyDescent="0.2">
      <c r="A83" s="1"/>
      <c r="B83" s="26" t="s">
        <v>15</v>
      </c>
      <c r="C83" s="10">
        <v>31</v>
      </c>
      <c r="D83" s="10">
        <v>29</v>
      </c>
      <c r="E83" s="10">
        <v>36</v>
      </c>
      <c r="F83" s="10">
        <v>55</v>
      </c>
      <c r="G83" s="10">
        <v>35</v>
      </c>
      <c r="H83" s="10">
        <v>32</v>
      </c>
      <c r="I83" s="10">
        <v>54</v>
      </c>
      <c r="J83" s="10">
        <v>50</v>
      </c>
      <c r="K83" s="10">
        <v>52</v>
      </c>
      <c r="L83" s="10">
        <v>34</v>
      </c>
      <c r="M83" s="10">
        <v>42</v>
      </c>
      <c r="N83" s="10">
        <v>32</v>
      </c>
      <c r="O83" s="10">
        <v>33</v>
      </c>
      <c r="P83" s="10">
        <v>24</v>
      </c>
      <c r="Q83" s="1"/>
      <c r="R83" s="1"/>
      <c r="S83" s="1"/>
      <c r="T83" s="1"/>
    </row>
    <row r="84" spans="1:20" x14ac:dyDescent="0.2">
      <c r="A84" s="1"/>
      <c r="B84" s="26" t="s">
        <v>16</v>
      </c>
      <c r="C84" s="10">
        <v>28</v>
      </c>
      <c r="D84" s="10">
        <v>21</v>
      </c>
      <c r="E84" s="10">
        <v>23</v>
      </c>
      <c r="F84" s="10">
        <v>49</v>
      </c>
      <c r="G84" s="10">
        <v>32</v>
      </c>
      <c r="H84" s="10">
        <v>22</v>
      </c>
      <c r="I84" s="10">
        <v>54</v>
      </c>
      <c r="J84" s="10">
        <v>50</v>
      </c>
      <c r="K84" s="10">
        <v>50</v>
      </c>
      <c r="L84" s="10">
        <v>32</v>
      </c>
      <c r="M84" s="10">
        <v>40</v>
      </c>
      <c r="N84" s="10">
        <v>25</v>
      </c>
      <c r="O84" s="10">
        <v>33</v>
      </c>
      <c r="P84" s="10">
        <v>39</v>
      </c>
      <c r="Q84" s="1"/>
      <c r="R84" s="1"/>
      <c r="S84" s="1"/>
      <c r="T84" s="1"/>
    </row>
    <row r="85" spans="1:20" x14ac:dyDescent="0.2">
      <c r="A85" s="1"/>
      <c r="B85" s="26" t="s">
        <v>17</v>
      </c>
      <c r="C85" s="10">
        <v>38</v>
      </c>
      <c r="D85" s="10">
        <v>34</v>
      </c>
      <c r="E85" s="10">
        <v>33</v>
      </c>
      <c r="F85" s="19">
        <v>35</v>
      </c>
      <c r="G85" s="10">
        <v>30</v>
      </c>
      <c r="H85" s="10">
        <v>30</v>
      </c>
      <c r="I85" s="10">
        <v>53</v>
      </c>
      <c r="J85" s="10">
        <v>33</v>
      </c>
      <c r="K85" s="10">
        <v>32</v>
      </c>
      <c r="L85" s="10">
        <v>42</v>
      </c>
      <c r="M85" s="10">
        <v>26</v>
      </c>
      <c r="N85" s="10">
        <v>26</v>
      </c>
      <c r="O85" s="10">
        <v>25</v>
      </c>
      <c r="P85" s="10">
        <v>46</v>
      </c>
      <c r="Q85" s="1"/>
      <c r="R85" s="1"/>
      <c r="S85" s="1"/>
      <c r="T85" s="1"/>
    </row>
    <row r="86" spans="1:20" x14ac:dyDescent="0.2">
      <c r="A86" s="1"/>
      <c r="B86" s="26" t="s">
        <v>18</v>
      </c>
      <c r="C86" s="10">
        <v>40</v>
      </c>
      <c r="D86" s="10">
        <v>35</v>
      </c>
      <c r="E86" s="10">
        <v>22</v>
      </c>
      <c r="F86" s="10">
        <v>20</v>
      </c>
      <c r="G86" s="10">
        <v>54</v>
      </c>
      <c r="H86" s="10">
        <v>27</v>
      </c>
      <c r="I86" s="10">
        <v>24</v>
      </c>
      <c r="J86" s="10">
        <v>28</v>
      </c>
      <c r="K86" s="10">
        <v>21</v>
      </c>
      <c r="L86" s="10">
        <v>38</v>
      </c>
      <c r="M86" s="10">
        <v>25</v>
      </c>
      <c r="N86" s="10">
        <v>28</v>
      </c>
      <c r="O86" s="10">
        <v>35</v>
      </c>
      <c r="P86" s="10">
        <v>45</v>
      </c>
      <c r="Q86" s="1"/>
      <c r="R86" s="1"/>
      <c r="S86" s="1"/>
      <c r="T86" s="1"/>
    </row>
    <row r="87" spans="1:20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x14ac:dyDescent="0.2">
      <c r="A89" s="2" t="s">
        <v>80</v>
      </c>
      <c r="B89" s="37" t="s">
        <v>93</v>
      </c>
      <c r="C89" s="37"/>
      <c r="D89" s="1"/>
      <c r="E89" s="26" t="s">
        <v>24</v>
      </c>
      <c r="F89" s="26" t="s">
        <v>39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x14ac:dyDescent="0.2">
      <c r="A90" s="2"/>
      <c r="B90" s="12"/>
      <c r="C90" s="12"/>
      <c r="D90" s="1"/>
      <c r="E90" s="24">
        <v>8</v>
      </c>
      <c r="F90" s="23">
        <f>1/E90</f>
        <v>0.125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x14ac:dyDescent="0.2">
      <c r="A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x14ac:dyDescent="0.2">
      <c r="A92" s="1"/>
      <c r="B92" s="1"/>
      <c r="C92" s="33" t="s">
        <v>2</v>
      </c>
      <c r="D92" s="33" t="s">
        <v>3</v>
      </c>
      <c r="E92" s="33" t="s">
        <v>4</v>
      </c>
      <c r="F92" s="33" t="s">
        <v>5</v>
      </c>
      <c r="G92" s="33" t="s">
        <v>6</v>
      </c>
      <c r="H92" s="33" t="s">
        <v>7</v>
      </c>
      <c r="I92" s="33" t="s">
        <v>8</v>
      </c>
      <c r="J92" s="33" t="s">
        <v>9</v>
      </c>
      <c r="K92" s="33" t="s">
        <v>10</v>
      </c>
      <c r="L92" s="33" t="s">
        <v>55</v>
      </c>
      <c r="M92" s="33" t="s">
        <v>56</v>
      </c>
      <c r="N92" s="33" t="s">
        <v>57</v>
      </c>
      <c r="O92" s="33" t="s">
        <v>58</v>
      </c>
      <c r="P92" s="33" t="s">
        <v>59</v>
      </c>
      <c r="Q92" s="1"/>
      <c r="T92" s="1"/>
    </row>
    <row r="93" spans="1:20" x14ac:dyDescent="0.2">
      <c r="A93" s="1"/>
      <c r="B93" s="26" t="s">
        <v>21</v>
      </c>
      <c r="C93" s="9">
        <f t="shared" ref="C93:P93" si="18">MAX(C79:C86)</f>
        <v>45</v>
      </c>
      <c r="D93" s="9">
        <f t="shared" si="18"/>
        <v>41</v>
      </c>
      <c r="E93" s="9">
        <f t="shared" si="18"/>
        <v>40</v>
      </c>
      <c r="F93" s="9">
        <f t="shared" si="18"/>
        <v>55</v>
      </c>
      <c r="G93" s="9">
        <f t="shared" si="18"/>
        <v>59</v>
      </c>
      <c r="H93" s="9">
        <f t="shared" si="18"/>
        <v>48</v>
      </c>
      <c r="I93" s="9">
        <f t="shared" si="18"/>
        <v>54</v>
      </c>
      <c r="J93" s="9">
        <f t="shared" si="18"/>
        <v>58</v>
      </c>
      <c r="K93" s="9">
        <f t="shared" si="18"/>
        <v>53</v>
      </c>
      <c r="L93" s="9">
        <f t="shared" si="18"/>
        <v>42</v>
      </c>
      <c r="M93" s="9">
        <f t="shared" si="18"/>
        <v>48</v>
      </c>
      <c r="N93" s="9">
        <f t="shared" si="18"/>
        <v>43</v>
      </c>
      <c r="O93" s="9">
        <f t="shared" si="18"/>
        <v>56</v>
      </c>
      <c r="P93" s="9">
        <f t="shared" si="18"/>
        <v>60</v>
      </c>
      <c r="Q93" s="1"/>
      <c r="T93" s="1"/>
    </row>
    <row r="94" spans="1:20" x14ac:dyDescent="0.2">
      <c r="A94" s="1"/>
      <c r="B94" s="26" t="s">
        <v>25</v>
      </c>
      <c r="C94" s="9">
        <f t="shared" ref="C94:P94" si="19">MIN(C79:C86)</f>
        <v>28</v>
      </c>
      <c r="D94" s="9">
        <f t="shared" si="19"/>
        <v>21</v>
      </c>
      <c r="E94" s="9">
        <f t="shared" si="19"/>
        <v>22</v>
      </c>
      <c r="F94" s="9">
        <f t="shared" si="19"/>
        <v>13</v>
      </c>
      <c r="G94" s="9">
        <f t="shared" si="19"/>
        <v>30</v>
      </c>
      <c r="H94" s="9">
        <f t="shared" si="19"/>
        <v>22</v>
      </c>
      <c r="I94" s="9">
        <f t="shared" si="19"/>
        <v>24</v>
      </c>
      <c r="J94" s="9">
        <f t="shared" si="19"/>
        <v>28</v>
      </c>
      <c r="K94" s="9">
        <f t="shared" si="19"/>
        <v>21</v>
      </c>
      <c r="L94" s="9">
        <f t="shared" si="19"/>
        <v>12</v>
      </c>
      <c r="M94" s="9">
        <f t="shared" si="19"/>
        <v>25</v>
      </c>
      <c r="N94" s="9">
        <f t="shared" si="19"/>
        <v>25</v>
      </c>
      <c r="O94" s="9">
        <f t="shared" si="19"/>
        <v>25</v>
      </c>
      <c r="P94" s="9">
        <f t="shared" si="19"/>
        <v>24</v>
      </c>
      <c r="Q94" s="1"/>
      <c r="R94" s="1"/>
      <c r="S94" s="1"/>
      <c r="T94" s="1"/>
    </row>
    <row r="95" spans="1:20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x14ac:dyDescent="0.2">
      <c r="A96" s="1"/>
      <c r="B96" s="26" t="s">
        <v>37</v>
      </c>
      <c r="C96" s="8">
        <f t="shared" ref="C96:P96" si="20">C93+(C93^$F$90)</f>
        <v>46.609353927547126</v>
      </c>
      <c r="D96" s="8">
        <f t="shared" si="20"/>
        <v>42.590735532524263</v>
      </c>
      <c r="E96" s="8">
        <f t="shared" si="20"/>
        <v>41.585833175137246</v>
      </c>
      <c r="F96" s="8">
        <f t="shared" si="20"/>
        <v>56.650233260885109</v>
      </c>
      <c r="G96" s="8">
        <f t="shared" si="20"/>
        <v>60.664778664710731</v>
      </c>
      <c r="H96" s="8">
        <f t="shared" si="20"/>
        <v>49.622389603610976</v>
      </c>
      <c r="I96" s="8">
        <f t="shared" si="20"/>
        <v>55.646452553470503</v>
      </c>
      <c r="J96" s="8">
        <f t="shared" si="20"/>
        <v>59.661225156645507</v>
      </c>
      <c r="K96" s="8">
        <f t="shared" si="20"/>
        <v>54.642610080453693</v>
      </c>
      <c r="L96" s="8">
        <f t="shared" si="20"/>
        <v>43.595534360338824</v>
      </c>
      <c r="M96" s="8">
        <f t="shared" si="20"/>
        <v>49.622389603610976</v>
      </c>
      <c r="N96" s="8">
        <f t="shared" si="20"/>
        <v>44.600234233489275</v>
      </c>
      <c r="O96" s="8">
        <f t="shared" si="20"/>
        <v>57.653954291912193</v>
      </c>
      <c r="P96" s="8">
        <f t="shared" si="20"/>
        <v>61.668279857731832</v>
      </c>
      <c r="Q96" s="1"/>
      <c r="R96" s="1"/>
      <c r="S96" s="1"/>
      <c r="T96" s="1"/>
    </row>
    <row r="97" spans="1:20" x14ac:dyDescent="0.2">
      <c r="A97" s="1"/>
      <c r="B97" s="26" t="s">
        <v>38</v>
      </c>
      <c r="C97" s="8">
        <f t="shared" ref="C97:P97" si="21">C94-(C94^$F$90)</f>
        <v>26.4833172270408</v>
      </c>
      <c r="D97" s="8">
        <f t="shared" si="21"/>
        <v>19.536888540497316</v>
      </c>
      <c r="E97" s="8">
        <f t="shared" si="21"/>
        <v>20.528355759475819</v>
      </c>
      <c r="F97" s="8">
        <f t="shared" si="21"/>
        <v>11.622019984863371</v>
      </c>
      <c r="G97" s="8">
        <f t="shared" si="21"/>
        <v>28.470180625262998</v>
      </c>
      <c r="H97" s="8">
        <f t="shared" si="21"/>
        <v>20.528355759475819</v>
      </c>
      <c r="I97" s="8">
        <f t="shared" si="21"/>
        <v>22.512262173835509</v>
      </c>
      <c r="J97" s="8">
        <f t="shared" si="21"/>
        <v>26.4833172270408</v>
      </c>
      <c r="K97" s="8">
        <f t="shared" si="21"/>
        <v>19.536888540497316</v>
      </c>
      <c r="L97" s="8">
        <f t="shared" si="21"/>
        <v>10.635738398178635</v>
      </c>
      <c r="M97" s="8">
        <f t="shared" si="21"/>
        <v>23.504651218778779</v>
      </c>
      <c r="N97" s="8">
        <f t="shared" si="21"/>
        <v>23.504651218778779</v>
      </c>
      <c r="O97" s="8">
        <f t="shared" si="21"/>
        <v>23.504651218778779</v>
      </c>
      <c r="P97" s="8">
        <f t="shared" si="21"/>
        <v>22.512262173835509</v>
      </c>
      <c r="Q97" s="1"/>
      <c r="R97" s="1"/>
      <c r="S97" s="1"/>
      <c r="T97" s="1"/>
    </row>
    <row r="98" spans="1:20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x14ac:dyDescent="0.2">
      <c r="A100" s="2" t="s">
        <v>81</v>
      </c>
      <c r="B100" s="37" t="s">
        <v>94</v>
      </c>
      <c r="C100" s="37"/>
      <c r="F100" s="26" t="s">
        <v>40</v>
      </c>
      <c r="G100" s="24">
        <v>0</v>
      </c>
      <c r="H100" s="26" t="s">
        <v>41</v>
      </c>
      <c r="I100" s="24">
        <v>100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x14ac:dyDescent="0.2">
      <c r="A101" s="49"/>
      <c r="B101" s="49"/>
      <c r="C101" s="4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x14ac:dyDescent="0.2">
      <c r="A102" s="1"/>
      <c r="B102" s="26" t="s">
        <v>1</v>
      </c>
      <c r="C102" s="26" t="s">
        <v>2</v>
      </c>
      <c r="D102" s="26" t="s">
        <v>3</v>
      </c>
      <c r="E102" s="26" t="s">
        <v>4</v>
      </c>
      <c r="F102" s="26" t="s">
        <v>5</v>
      </c>
      <c r="G102" s="26" t="s">
        <v>6</v>
      </c>
      <c r="H102" s="26" t="s">
        <v>7</v>
      </c>
      <c r="I102" s="26" t="s">
        <v>8</v>
      </c>
      <c r="J102" s="26" t="s">
        <v>9</v>
      </c>
      <c r="K102" s="26" t="s">
        <v>10</v>
      </c>
      <c r="L102" s="26" t="s">
        <v>55</v>
      </c>
      <c r="M102" s="26" t="s">
        <v>56</v>
      </c>
      <c r="N102" s="26" t="s">
        <v>57</v>
      </c>
      <c r="O102" s="26" t="s">
        <v>58</v>
      </c>
      <c r="P102" s="26" t="s">
        <v>59</v>
      </c>
      <c r="Q102" s="1"/>
      <c r="R102" s="1"/>
      <c r="S102" s="1"/>
      <c r="T102" s="1"/>
    </row>
    <row r="103" spans="1:20" x14ac:dyDescent="0.2">
      <c r="A103" s="1"/>
      <c r="B103" s="26" t="s">
        <v>11</v>
      </c>
      <c r="C103" s="8">
        <f t="shared" ref="C103:P103" si="22">(100/(C$96-C$97))*C79+((C$96*0-C$97*100)/(C$96-C$97))</f>
        <v>92.003622215860162</v>
      </c>
      <c r="D103" s="8">
        <f t="shared" si="22"/>
        <v>93.099912855869945</v>
      </c>
      <c r="E103" s="8">
        <f t="shared" si="22"/>
        <v>21.235422231527195</v>
      </c>
      <c r="F103" s="8">
        <f t="shared" si="22"/>
        <v>3.0602591461705337</v>
      </c>
      <c r="G103" s="8">
        <f t="shared" si="22"/>
        <v>54.449567449973713</v>
      </c>
      <c r="H103" s="8">
        <f t="shared" si="22"/>
        <v>60.052326652689871</v>
      </c>
      <c r="I103" s="8">
        <f t="shared" si="22"/>
        <v>7.5080688487065288</v>
      </c>
      <c r="J103" s="8">
        <f t="shared" si="22"/>
        <v>94.992977977483633</v>
      </c>
      <c r="K103" s="8">
        <f t="shared" si="22"/>
        <v>95.320961916181886</v>
      </c>
      <c r="L103" s="8">
        <f t="shared" si="22"/>
        <v>4.139168832803513</v>
      </c>
      <c r="M103" s="8">
        <f t="shared" si="22"/>
        <v>93.788169635112141</v>
      </c>
      <c r="N103" s="8">
        <f t="shared" si="22"/>
        <v>92.414363554809626</v>
      </c>
      <c r="O103" s="8">
        <f t="shared" si="22"/>
        <v>95.156696790062981</v>
      </c>
      <c r="P103" s="8">
        <f t="shared" si="22"/>
        <v>95.739403656419483</v>
      </c>
      <c r="Q103" s="1"/>
      <c r="R103" s="1"/>
      <c r="S103" s="1"/>
      <c r="T103" s="1"/>
    </row>
    <row r="104" spans="1:20" x14ac:dyDescent="0.2">
      <c r="A104" s="1"/>
      <c r="B104" s="26" t="s">
        <v>12</v>
      </c>
      <c r="C104" s="8">
        <f t="shared" ref="C104:P104" si="23">(100/(C$96-C$97))*C80+((C$96*0-C$97*100)/(C$96-C$97))</f>
        <v>92.003622215860162</v>
      </c>
      <c r="D104" s="8">
        <f t="shared" si="23"/>
        <v>84.424571162608572</v>
      </c>
      <c r="E104" s="8">
        <f t="shared" si="23"/>
        <v>11.737608412135387</v>
      </c>
      <c r="F104" s="8">
        <f t="shared" si="23"/>
        <v>9.7227486871391733</v>
      </c>
      <c r="G104" s="8">
        <f t="shared" si="23"/>
        <v>94.829012424162315</v>
      </c>
      <c r="H104" s="8">
        <f t="shared" si="23"/>
        <v>63.489457458810719</v>
      </c>
      <c r="I104" s="8">
        <f t="shared" si="23"/>
        <v>7.5080688487065288</v>
      </c>
      <c r="J104" s="8">
        <f t="shared" si="23"/>
        <v>55.81027837031499</v>
      </c>
      <c r="K104" s="8">
        <f t="shared" si="23"/>
        <v>95.320961916181886</v>
      </c>
      <c r="L104" s="8">
        <f t="shared" si="23"/>
        <v>61.785156756433679</v>
      </c>
      <c r="M104" s="8">
        <f t="shared" si="23"/>
        <v>82.301723313472579</v>
      </c>
      <c r="N104" s="8">
        <f t="shared" si="23"/>
        <v>68.712719487834221</v>
      </c>
      <c r="O104" s="8">
        <f t="shared" si="23"/>
        <v>83.443427001119758</v>
      </c>
      <c r="P104" s="8">
        <f t="shared" si="23"/>
        <v>70.200545030066621</v>
      </c>
      <c r="Q104" s="1"/>
      <c r="R104" s="1"/>
      <c r="S104" s="1"/>
      <c r="T104" s="1"/>
    </row>
    <row r="105" spans="1:20" x14ac:dyDescent="0.2">
      <c r="A105" s="1"/>
      <c r="B105" s="26" t="s">
        <v>13</v>
      </c>
      <c r="C105" s="8">
        <f t="shared" ref="C105:P105" si="24">(100/(C$96-C$97))*C81+((C$96*0-C$97*100)/(C$96-C$97))</f>
        <v>72.128869627838839</v>
      </c>
      <c r="D105" s="8">
        <f t="shared" si="24"/>
        <v>67.073887776085797</v>
      </c>
      <c r="E105" s="8">
        <f t="shared" si="24"/>
        <v>87.720118967269855</v>
      </c>
      <c r="F105" s="8">
        <f t="shared" si="24"/>
        <v>76.347644096825562</v>
      </c>
      <c r="G105" s="8">
        <f t="shared" si="24"/>
        <v>14.070122475785098</v>
      </c>
      <c r="H105" s="8">
        <f t="shared" si="24"/>
        <v>84.112242295535921</v>
      </c>
      <c r="I105" s="8">
        <f t="shared" si="24"/>
        <v>79.940802906850081</v>
      </c>
      <c r="J105" s="8">
        <f t="shared" si="24"/>
        <v>43.754063106570797</v>
      </c>
      <c r="K105" s="8">
        <f t="shared" si="24"/>
        <v>86.775346362929469</v>
      </c>
      <c r="L105" s="8">
        <f t="shared" si="24"/>
        <v>92.125150400449542</v>
      </c>
      <c r="M105" s="8">
        <f t="shared" si="24"/>
        <v>63.157646110740004</v>
      </c>
      <c r="N105" s="8">
        <f t="shared" si="24"/>
        <v>59.232061861044059</v>
      </c>
      <c r="O105" s="8">
        <f t="shared" si="24"/>
        <v>42.446982739818409</v>
      </c>
      <c r="P105" s="8">
        <f t="shared" si="24"/>
        <v>21.67671363999623</v>
      </c>
      <c r="Q105" s="1"/>
      <c r="R105" s="1"/>
      <c r="S105" s="1"/>
      <c r="T105" s="1"/>
    </row>
    <row r="106" spans="1:20" x14ac:dyDescent="0.2">
      <c r="A106" s="1"/>
      <c r="B106" s="26" t="s">
        <v>14</v>
      </c>
      <c r="C106" s="8">
        <f t="shared" ref="C106:P106" si="25">(100/(C$96-C$97))*C82+((C$96*0-C$97*100)/(C$96-C$97))</f>
        <v>92.003622215860162</v>
      </c>
      <c r="D106" s="8">
        <f t="shared" si="25"/>
        <v>62.736216929455082</v>
      </c>
      <c r="E106" s="8">
        <f t="shared" si="25"/>
        <v>92.469025876965759</v>
      </c>
      <c r="F106" s="8">
        <f t="shared" si="25"/>
        <v>91.893453025752379</v>
      </c>
      <c r="G106" s="8">
        <f t="shared" si="25"/>
        <v>42.025122842531047</v>
      </c>
      <c r="H106" s="8">
        <f t="shared" si="25"/>
        <v>94.423634713898494</v>
      </c>
      <c r="I106" s="8">
        <f t="shared" si="25"/>
        <v>64.85064997807018</v>
      </c>
      <c r="J106" s="8">
        <f t="shared" si="25"/>
        <v>46.768116922506849</v>
      </c>
      <c r="K106" s="8">
        <f t="shared" si="25"/>
        <v>78.229730809677022</v>
      </c>
      <c r="L106" s="8">
        <f t="shared" si="25"/>
        <v>83.023152307244786</v>
      </c>
      <c r="M106" s="8">
        <f t="shared" si="25"/>
        <v>74.644092432379566</v>
      </c>
      <c r="N106" s="8">
        <f t="shared" si="25"/>
        <v>82.933705928019464</v>
      </c>
      <c r="O106" s="8">
        <f t="shared" si="25"/>
        <v>45.375300187054222</v>
      </c>
      <c r="P106" s="8">
        <f t="shared" si="25"/>
        <v>3.7995126015492389</v>
      </c>
      <c r="Q106" s="1"/>
      <c r="R106" s="1"/>
      <c r="S106" s="1"/>
      <c r="T106" s="1"/>
    </row>
    <row r="107" spans="1:20" x14ac:dyDescent="0.2">
      <c r="A107" s="1"/>
      <c r="B107" s="26" t="s">
        <v>15</v>
      </c>
      <c r="C107" s="8">
        <f t="shared" ref="C107:P107" si="26">(100/(C$96-C$97))*C83+((C$96*0-C$97*100)/(C$96-C$97))</f>
        <v>22.441988157785545</v>
      </c>
      <c r="D107" s="8">
        <f t="shared" si="26"/>
        <v>41.047862696301621</v>
      </c>
      <c r="E107" s="8">
        <f t="shared" si="26"/>
        <v>73.473398238182142</v>
      </c>
      <c r="F107" s="8">
        <f t="shared" si="26"/>
        <v>96.33511271973147</v>
      </c>
      <c r="G107" s="8">
        <f t="shared" si="26"/>
        <v>20.282344779506417</v>
      </c>
      <c r="H107" s="8">
        <f t="shared" si="26"/>
        <v>39.429541815964669</v>
      </c>
      <c r="I107" s="8">
        <f t="shared" si="26"/>
        <v>95.03095583563001</v>
      </c>
      <c r="J107" s="8">
        <f t="shared" si="26"/>
        <v>70.880547449995248</v>
      </c>
      <c r="K107" s="8">
        <f t="shared" si="26"/>
        <v>92.47242339843109</v>
      </c>
      <c r="L107" s="8">
        <f t="shared" si="26"/>
        <v>70.887154849638435</v>
      </c>
      <c r="M107" s="8">
        <f t="shared" si="26"/>
        <v>70.815276991833045</v>
      </c>
      <c r="N107" s="8">
        <f t="shared" si="26"/>
        <v>40.270746607463735</v>
      </c>
      <c r="O107" s="8">
        <f t="shared" si="26"/>
        <v>27.805395503639375</v>
      </c>
      <c r="P107" s="8">
        <f t="shared" si="26"/>
        <v>3.7995126015492389</v>
      </c>
      <c r="Q107" s="1"/>
      <c r="R107" s="1"/>
      <c r="S107" s="1"/>
      <c r="T107" s="1"/>
    </row>
    <row r="108" spans="1:20" x14ac:dyDescent="0.2">
      <c r="A108" s="1"/>
      <c r="B108" s="26" t="s">
        <v>16</v>
      </c>
      <c r="C108" s="8">
        <f t="shared" ref="C108:P108" si="27">(100/(C$96-C$97))*C84+((C$96*0-C$97*100)/(C$96-C$97))</f>
        <v>7.5359237167695596</v>
      </c>
      <c r="D108" s="8">
        <f t="shared" si="27"/>
        <v>6.3464959232560716</v>
      </c>
      <c r="E108" s="8">
        <f t="shared" si="27"/>
        <v>11.737608412135387</v>
      </c>
      <c r="F108" s="8">
        <f t="shared" si="27"/>
        <v>83.010133637794198</v>
      </c>
      <c r="G108" s="8">
        <f t="shared" si="27"/>
        <v>10.964011323924439</v>
      </c>
      <c r="H108" s="8">
        <f t="shared" si="27"/>
        <v>5.0582337547560172</v>
      </c>
      <c r="I108" s="8">
        <f t="shared" si="27"/>
        <v>95.03095583563001</v>
      </c>
      <c r="J108" s="8">
        <f t="shared" si="27"/>
        <v>70.880547449995248</v>
      </c>
      <c r="K108" s="8">
        <f t="shared" si="27"/>
        <v>86.775346362929469</v>
      </c>
      <c r="L108" s="8">
        <f t="shared" si="27"/>
        <v>64.81915612083526</v>
      </c>
      <c r="M108" s="8">
        <f t="shared" si="27"/>
        <v>63.157646110740004</v>
      </c>
      <c r="N108" s="8">
        <f t="shared" si="27"/>
        <v>7.0884449136981686</v>
      </c>
      <c r="O108" s="8">
        <f t="shared" si="27"/>
        <v>27.805395503639375</v>
      </c>
      <c r="P108" s="8">
        <f t="shared" si="27"/>
        <v>42.107800541078497</v>
      </c>
      <c r="Q108" s="1"/>
      <c r="R108" s="1"/>
      <c r="S108" s="1"/>
      <c r="T108" s="1"/>
    </row>
    <row r="109" spans="1:20" x14ac:dyDescent="0.2">
      <c r="A109" s="1"/>
      <c r="B109" s="26" t="s">
        <v>17</v>
      </c>
      <c r="C109" s="8">
        <f t="shared" ref="C109:P109" si="28">(100/(C$96-C$97))*C85+((C$96*0-C$97*100)/(C$96-C$97))</f>
        <v>57.222805186822853</v>
      </c>
      <c r="D109" s="8">
        <f t="shared" si="28"/>
        <v>62.736216929455082</v>
      </c>
      <c r="E109" s="8">
        <f t="shared" si="28"/>
        <v>59.226677509094429</v>
      </c>
      <c r="F109" s="8">
        <f t="shared" si="28"/>
        <v>51.918515779940549</v>
      </c>
      <c r="G109" s="8">
        <f t="shared" si="28"/>
        <v>4.7517890202031197</v>
      </c>
      <c r="H109" s="8">
        <f t="shared" si="28"/>
        <v>32.555280203722944</v>
      </c>
      <c r="I109" s="8">
        <f t="shared" si="28"/>
        <v>92.012925249874002</v>
      </c>
      <c r="J109" s="8">
        <f t="shared" si="28"/>
        <v>19.641632579082398</v>
      </c>
      <c r="K109" s="8">
        <f t="shared" si="28"/>
        <v>35.501653043414898</v>
      </c>
      <c r="L109" s="8">
        <f t="shared" si="28"/>
        <v>95.159149764851136</v>
      </c>
      <c r="M109" s="8">
        <f t="shared" si="28"/>
        <v>9.5542299430887425</v>
      </c>
      <c r="N109" s="8">
        <f t="shared" si="28"/>
        <v>11.82877372709325</v>
      </c>
      <c r="O109" s="8">
        <f t="shared" si="28"/>
        <v>4.3788559257529016</v>
      </c>
      <c r="P109" s="8">
        <f t="shared" si="28"/>
        <v>59.985001579525495</v>
      </c>
      <c r="Q109" s="1"/>
      <c r="R109" s="1"/>
      <c r="S109" s="1"/>
      <c r="T109" s="1"/>
    </row>
    <row r="110" spans="1:20" x14ac:dyDescent="0.2">
      <c r="A110" s="1"/>
      <c r="B110" s="26" t="s">
        <v>18</v>
      </c>
      <c r="C110" s="8">
        <f t="shared" ref="C110:P110" si="29">(100/(C$96-C$97))*C86+((C$96*0-C$97*100)/(C$96-C$97))</f>
        <v>67.160181480833501</v>
      </c>
      <c r="D110" s="8">
        <f t="shared" si="29"/>
        <v>67.073887776085797</v>
      </c>
      <c r="E110" s="8">
        <f t="shared" si="29"/>
        <v>6.9887015024394827</v>
      </c>
      <c r="F110" s="8">
        <f t="shared" si="29"/>
        <v>18.606068075097355</v>
      </c>
      <c r="G110" s="8">
        <f t="shared" si="29"/>
        <v>79.298456664858989</v>
      </c>
      <c r="H110" s="8">
        <f t="shared" si="29"/>
        <v>22.243887785360343</v>
      </c>
      <c r="I110" s="8">
        <f t="shared" si="29"/>
        <v>4.4900382629505486</v>
      </c>
      <c r="J110" s="8">
        <f t="shared" si="29"/>
        <v>4.571363499402139</v>
      </c>
      <c r="K110" s="8">
        <f t="shared" si="29"/>
        <v>4.1677293481559943</v>
      </c>
      <c r="L110" s="8">
        <f t="shared" si="29"/>
        <v>83.023152307244786</v>
      </c>
      <c r="M110" s="8">
        <f t="shared" si="29"/>
        <v>5.7254145025422218</v>
      </c>
      <c r="N110" s="8">
        <f t="shared" si="29"/>
        <v>21.309431353883411</v>
      </c>
      <c r="O110" s="8">
        <f t="shared" si="29"/>
        <v>33.662030398110986</v>
      </c>
      <c r="P110" s="8">
        <f t="shared" si="29"/>
        <v>57.431115716890211</v>
      </c>
      <c r="Q110" s="1"/>
      <c r="R110" s="1"/>
      <c r="S110" s="1"/>
      <c r="T110" s="1"/>
    </row>
    <row r="111" spans="1:20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x14ac:dyDescent="0.2">
      <c r="A112" s="1"/>
      <c r="B112" s="26" t="s">
        <v>21</v>
      </c>
      <c r="C112" s="8">
        <f t="shared" ref="C112:K112" si="30">MAX(C103:C110)</f>
        <v>92.003622215860162</v>
      </c>
      <c r="D112" s="8">
        <f t="shared" si="30"/>
        <v>93.099912855869945</v>
      </c>
      <c r="E112" s="8">
        <f t="shared" si="30"/>
        <v>92.469025876965759</v>
      </c>
      <c r="F112" s="8">
        <f t="shared" si="30"/>
        <v>96.33511271973147</v>
      </c>
      <c r="G112" s="8">
        <f t="shared" si="30"/>
        <v>94.829012424162315</v>
      </c>
      <c r="H112" s="8">
        <f t="shared" si="30"/>
        <v>94.423634713898494</v>
      </c>
      <c r="I112" s="8">
        <f t="shared" si="30"/>
        <v>95.03095583563001</v>
      </c>
      <c r="J112" s="8">
        <f t="shared" si="30"/>
        <v>94.992977977483633</v>
      </c>
      <c r="K112" s="8">
        <f t="shared" si="30"/>
        <v>95.320961916181886</v>
      </c>
      <c r="L112" s="8">
        <f t="shared" ref="L112:P112" si="31">MAX(L103:L110)</f>
        <v>95.159149764851136</v>
      </c>
      <c r="M112" s="8">
        <f t="shared" si="31"/>
        <v>93.788169635112141</v>
      </c>
      <c r="N112" s="8">
        <f t="shared" si="31"/>
        <v>92.414363554809626</v>
      </c>
      <c r="O112" s="8">
        <f t="shared" si="31"/>
        <v>95.156696790062981</v>
      </c>
      <c r="P112" s="8">
        <f t="shared" si="31"/>
        <v>95.739403656419483</v>
      </c>
      <c r="Q112" s="1"/>
      <c r="R112" s="1"/>
      <c r="S112" s="1"/>
      <c r="T112" s="1"/>
    </row>
    <row r="113" spans="1:20" x14ac:dyDescent="0.2">
      <c r="A113" s="1"/>
      <c r="B113" s="26" t="s">
        <v>25</v>
      </c>
      <c r="C113" s="8">
        <f>MIN(C103:C110)</f>
        <v>7.5359237167695596</v>
      </c>
      <c r="D113" s="8">
        <f t="shared" ref="D113:P113" si="32">MIN(D103:D110)</f>
        <v>6.3464959232560716</v>
      </c>
      <c r="E113" s="8">
        <f t="shared" si="32"/>
        <v>6.9887015024394827</v>
      </c>
      <c r="F113" s="8">
        <f t="shared" si="32"/>
        <v>3.0602591461705337</v>
      </c>
      <c r="G113" s="8">
        <f t="shared" si="32"/>
        <v>4.7517890202031197</v>
      </c>
      <c r="H113" s="8">
        <f t="shared" si="32"/>
        <v>5.0582337547560172</v>
      </c>
      <c r="I113" s="8">
        <f t="shared" si="32"/>
        <v>4.4900382629505486</v>
      </c>
      <c r="J113" s="8">
        <f t="shared" si="32"/>
        <v>4.571363499402139</v>
      </c>
      <c r="K113" s="8">
        <f t="shared" si="32"/>
        <v>4.1677293481559943</v>
      </c>
      <c r="L113" s="8">
        <f t="shared" si="32"/>
        <v>4.139168832803513</v>
      </c>
      <c r="M113" s="8">
        <f t="shared" si="32"/>
        <v>5.7254145025422218</v>
      </c>
      <c r="N113" s="8">
        <f t="shared" si="32"/>
        <v>7.0884449136981686</v>
      </c>
      <c r="O113" s="8">
        <f t="shared" si="32"/>
        <v>4.3788559257529016</v>
      </c>
      <c r="P113" s="8">
        <f t="shared" si="32"/>
        <v>3.7995126015492389</v>
      </c>
      <c r="Q113" s="1"/>
      <c r="R113" s="1"/>
      <c r="S113" s="1"/>
      <c r="T113" s="1"/>
    </row>
    <row r="114" spans="1:20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7" t="s">
        <v>87</v>
      </c>
      <c r="R115" s="1"/>
      <c r="S115" s="1"/>
      <c r="T115" s="1"/>
    </row>
    <row r="116" spans="1:20" x14ac:dyDescent="0.2">
      <c r="A116" s="2" t="s">
        <v>85</v>
      </c>
      <c r="B116" s="37" t="s">
        <v>95</v>
      </c>
      <c r="C116" s="37"/>
      <c r="D116" s="37"/>
      <c r="E116" s="37"/>
      <c r="F116" s="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7" t="s">
        <v>101</v>
      </c>
      <c r="R116" s="37"/>
      <c r="S116" s="37"/>
      <c r="T116" s="37"/>
    </row>
    <row r="117" spans="1:20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x14ac:dyDescent="0.2">
      <c r="A118" s="1"/>
      <c r="B118" s="26" t="s">
        <v>42</v>
      </c>
      <c r="C118" s="26" t="s">
        <v>2</v>
      </c>
      <c r="D118" s="26" t="s">
        <v>3</v>
      </c>
      <c r="E118" s="26" t="s">
        <v>4</v>
      </c>
      <c r="F118" s="26" t="s">
        <v>5</v>
      </c>
      <c r="G118" s="26" t="s">
        <v>6</v>
      </c>
      <c r="H118" s="26" t="s">
        <v>7</v>
      </c>
      <c r="I118" s="26" t="s">
        <v>8</v>
      </c>
      <c r="J118" s="26" t="s">
        <v>9</v>
      </c>
      <c r="K118" s="26" t="s">
        <v>10</v>
      </c>
      <c r="L118" s="26" t="s">
        <v>55</v>
      </c>
      <c r="M118" s="26" t="s">
        <v>56</v>
      </c>
      <c r="N118" s="26" t="s">
        <v>57</v>
      </c>
      <c r="O118" s="26" t="s">
        <v>58</v>
      </c>
      <c r="P118" s="26" t="s">
        <v>59</v>
      </c>
      <c r="Q118" s="1"/>
      <c r="R118" s="26"/>
      <c r="S118" s="26" t="s">
        <v>45</v>
      </c>
      <c r="T118" s="1"/>
    </row>
    <row r="119" spans="1:20" x14ac:dyDescent="0.2">
      <c r="A119" s="1"/>
      <c r="B119" s="26" t="s">
        <v>11</v>
      </c>
      <c r="C119" s="8">
        <f t="shared" ref="C119:P119" si="33">(C103/ C$112) *C$71*100</f>
        <v>3.3902814109871242</v>
      </c>
      <c r="D119" s="8">
        <f t="shared" si="33"/>
        <v>5.2164980062638788</v>
      </c>
      <c r="E119" s="8">
        <f t="shared" si="33"/>
        <v>1.3858960929701236</v>
      </c>
      <c r="F119" s="8">
        <f t="shared" si="33"/>
        <v>0.47190353212511621</v>
      </c>
      <c r="G119" s="8">
        <f t="shared" si="33"/>
        <v>5.139162668799</v>
      </c>
      <c r="H119" s="8">
        <f t="shared" si="33"/>
        <v>4.3361140951054047</v>
      </c>
      <c r="I119" s="8">
        <f t="shared" si="33"/>
        <v>0.58457107341222814</v>
      </c>
      <c r="J119" s="8">
        <f t="shared" si="33"/>
        <v>5.643078511896757</v>
      </c>
      <c r="K119" s="8">
        <f t="shared" si="33"/>
        <v>5.2509837986847527</v>
      </c>
      <c r="L119" s="8">
        <f t="shared" si="33"/>
        <v>0.45367580029729243</v>
      </c>
      <c r="M119" s="8">
        <f t="shared" si="33"/>
        <v>4.0686289045640054</v>
      </c>
      <c r="N119" s="8">
        <f t="shared" si="33"/>
        <v>3.9634837301810748</v>
      </c>
      <c r="O119" s="8">
        <f t="shared" si="33"/>
        <v>7.5058302627667839</v>
      </c>
      <c r="P119" s="8">
        <f t="shared" si="33"/>
        <v>10.473896779025251</v>
      </c>
      <c r="Q119" s="1"/>
      <c r="R119" s="26" t="s">
        <v>11</v>
      </c>
      <c r="S119" s="8">
        <f>SUM(C119:P119)</f>
        <v>57.884004667078798</v>
      </c>
      <c r="T119" s="1"/>
    </row>
    <row r="120" spans="1:20" x14ac:dyDescent="0.2">
      <c r="A120" s="1"/>
      <c r="B120" s="26" t="s">
        <v>12</v>
      </c>
      <c r="C120" s="8">
        <f t="shared" ref="C120:P120" si="34">(C104/ C$112) *C$71*100</f>
        <v>3.3902814109871242</v>
      </c>
      <c r="D120" s="8">
        <f t="shared" si="34"/>
        <v>4.7304083713936942</v>
      </c>
      <c r="E120" s="8">
        <f t="shared" si="34"/>
        <v>0.76603636423299881</v>
      </c>
      <c r="F120" s="8">
        <f t="shared" si="34"/>
        <v>1.4992846122745098</v>
      </c>
      <c r="G120" s="8">
        <f t="shared" si="34"/>
        <v>8.9503322687931988</v>
      </c>
      <c r="H120" s="8">
        <f t="shared" si="34"/>
        <v>4.5842941768087684</v>
      </c>
      <c r="I120" s="8">
        <f t="shared" si="34"/>
        <v>0.58457107341222814</v>
      </c>
      <c r="J120" s="8">
        <f t="shared" si="34"/>
        <v>3.3154217218998236</v>
      </c>
      <c r="K120" s="8">
        <f t="shared" si="34"/>
        <v>5.2509837986847527</v>
      </c>
      <c r="L120" s="8">
        <f t="shared" si="34"/>
        <v>6.7719949512142357</v>
      </c>
      <c r="M120" s="8">
        <f t="shared" si="34"/>
        <v>3.5703348478960151</v>
      </c>
      <c r="N120" s="8">
        <f t="shared" si="34"/>
        <v>2.9469633861083193</v>
      </c>
      <c r="O120" s="8">
        <f t="shared" si="34"/>
        <v>6.5819035416473204</v>
      </c>
      <c r="P120" s="8">
        <f t="shared" si="34"/>
        <v>7.6799440397071095</v>
      </c>
      <c r="Q120" s="1"/>
      <c r="R120" s="26" t="s">
        <v>12</v>
      </c>
      <c r="S120" s="8">
        <f t="shared" ref="S120:S126" si="35">SUM(C120:P120)</f>
        <v>60.622754565060099</v>
      </c>
      <c r="T120" s="1"/>
    </row>
    <row r="121" spans="1:20" x14ac:dyDescent="0.2">
      <c r="A121" s="1"/>
      <c r="B121" s="26" t="s">
        <v>13</v>
      </c>
      <c r="C121" s="8">
        <f t="shared" ref="C121:P121" si="36">(C105/ C$112) *C$71*100</f>
        <v>2.6579080258496703</v>
      </c>
      <c r="D121" s="8">
        <f t="shared" si="36"/>
        <v>3.7582291016533231</v>
      </c>
      <c r="E121" s="8">
        <f t="shared" si="36"/>
        <v>5.7249141941299975</v>
      </c>
      <c r="F121" s="8">
        <f t="shared" si="36"/>
        <v>11.773095413768447</v>
      </c>
      <c r="G121" s="8">
        <f t="shared" si="36"/>
        <v>1.3279930688047998</v>
      </c>
      <c r="H121" s="8">
        <f t="shared" si="36"/>
        <v>6.0733746670289541</v>
      </c>
      <c r="I121" s="8">
        <f t="shared" si="36"/>
        <v>6.224114603416754</v>
      </c>
      <c r="J121" s="8">
        <f t="shared" si="36"/>
        <v>2.5992196326699992</v>
      </c>
      <c r="K121" s="8">
        <f t="shared" si="36"/>
        <v>4.7802280706910008</v>
      </c>
      <c r="L121" s="8">
        <f t="shared" si="36"/>
        <v>10.097426083275783</v>
      </c>
      <c r="M121" s="8">
        <f t="shared" si="36"/>
        <v>2.7398447534493671</v>
      </c>
      <c r="N121" s="8">
        <f t="shared" si="36"/>
        <v>2.5403552484792171</v>
      </c>
      <c r="O121" s="8">
        <f t="shared" si="36"/>
        <v>3.3481600177291888</v>
      </c>
      <c r="P121" s="8">
        <f t="shared" si="36"/>
        <v>2.3714338350026463</v>
      </c>
      <c r="Q121" s="1"/>
      <c r="R121" s="26" t="s">
        <v>13</v>
      </c>
      <c r="S121" s="8">
        <f t="shared" si="35"/>
        <v>66.016296715949153</v>
      </c>
      <c r="T121" s="1"/>
    </row>
    <row r="122" spans="1:20" x14ac:dyDescent="0.2">
      <c r="A122" s="1"/>
      <c r="B122" s="26" t="s">
        <v>14</v>
      </c>
      <c r="C122" s="8">
        <f t="shared" ref="C122:P122" si="37">(C106/ C$112) *C$71*100</f>
        <v>3.3902814109871242</v>
      </c>
      <c r="D122" s="8">
        <f t="shared" si="37"/>
        <v>3.5151842842182286</v>
      </c>
      <c r="E122" s="8">
        <f t="shared" si="37"/>
        <v>6.0348440584985594</v>
      </c>
      <c r="F122" s="8">
        <f t="shared" si="37"/>
        <v>14.17031793411703</v>
      </c>
      <c r="G122" s="8">
        <f t="shared" si="37"/>
        <v>3.9664950995700137</v>
      </c>
      <c r="H122" s="8">
        <f t="shared" si="37"/>
        <v>6.8179149121390452</v>
      </c>
      <c r="I122" s="8">
        <f t="shared" si="37"/>
        <v>5.0492097013324786</v>
      </c>
      <c r="J122" s="8">
        <f t="shared" si="37"/>
        <v>2.7782701549774558</v>
      </c>
      <c r="K122" s="8">
        <f t="shared" si="37"/>
        <v>4.309472342697247</v>
      </c>
      <c r="L122" s="8">
        <f t="shared" si="37"/>
        <v>9.0997967436573202</v>
      </c>
      <c r="M122" s="8">
        <f t="shared" si="37"/>
        <v>3.2381388101173574</v>
      </c>
      <c r="N122" s="8">
        <f t="shared" si="37"/>
        <v>3.5568755925519726</v>
      </c>
      <c r="O122" s="8">
        <f t="shared" si="37"/>
        <v>3.5791416980090562</v>
      </c>
      <c r="P122" s="8">
        <f t="shared" si="37"/>
        <v>0.41566691747994883</v>
      </c>
      <c r="Q122" s="1"/>
      <c r="R122" s="26" t="s">
        <v>14</v>
      </c>
      <c r="S122" s="8">
        <f t="shared" si="35"/>
        <v>69.921609660352843</v>
      </c>
      <c r="T122" s="1"/>
    </row>
    <row r="123" spans="1:20" x14ac:dyDescent="0.2">
      <c r="A123" s="1"/>
      <c r="B123" s="26" t="s">
        <v>15</v>
      </c>
      <c r="C123" s="8">
        <f t="shared" ref="C123:P123" si="38">(C107/ C$112) *C$71*100</f>
        <v>0.82697456300603744</v>
      </c>
      <c r="D123" s="8">
        <f t="shared" si="38"/>
        <v>2.2999601970427648</v>
      </c>
      <c r="E123" s="8">
        <f t="shared" si="38"/>
        <v>4.7951246010243098</v>
      </c>
      <c r="F123" s="8">
        <f t="shared" si="38"/>
        <v>14.855238654216626</v>
      </c>
      <c r="G123" s="8">
        <f t="shared" si="38"/>
        <v>1.9143268534192917</v>
      </c>
      <c r="H123" s="8">
        <f t="shared" si="38"/>
        <v>2.8470336048852194</v>
      </c>
      <c r="I123" s="8">
        <f t="shared" si="38"/>
        <v>7.3990195055010322</v>
      </c>
      <c r="J123" s="8">
        <f t="shared" si="38"/>
        <v>4.2106743334371064</v>
      </c>
      <c r="K123" s="8">
        <f t="shared" si="38"/>
        <v>5.0940652226868357</v>
      </c>
      <c r="L123" s="8">
        <f t="shared" si="38"/>
        <v>7.7696242908326996</v>
      </c>
      <c r="M123" s="8">
        <f t="shared" si="38"/>
        <v>3.072040791228027</v>
      </c>
      <c r="N123" s="8">
        <f t="shared" si="38"/>
        <v>1.7271389732210123</v>
      </c>
      <c r="O123" s="8">
        <f t="shared" si="38"/>
        <v>2.1932516163298588</v>
      </c>
      <c r="P123" s="8">
        <f t="shared" si="38"/>
        <v>0.41566691747994883</v>
      </c>
      <c r="Q123" s="1"/>
      <c r="R123" s="26" t="s">
        <v>15</v>
      </c>
      <c r="S123" s="8">
        <f t="shared" si="35"/>
        <v>59.420140124310763</v>
      </c>
      <c r="T123" s="1"/>
    </row>
    <row r="124" spans="1:20" x14ac:dyDescent="0.2">
      <c r="A124" s="1"/>
      <c r="B124" s="26" t="s">
        <v>16</v>
      </c>
      <c r="C124" s="8">
        <f t="shared" ref="C124:P124" si="39">(C108/ C$112) *C$71*100</f>
        <v>0.27769452415294749</v>
      </c>
      <c r="D124" s="8">
        <f t="shared" si="39"/>
        <v>0.35560165756202178</v>
      </c>
      <c r="E124" s="8">
        <f t="shared" si="39"/>
        <v>0.76603636423299881</v>
      </c>
      <c r="F124" s="8">
        <f t="shared" si="39"/>
        <v>12.80047649391784</v>
      </c>
      <c r="G124" s="8">
        <f t="shared" si="39"/>
        <v>1.0348261764975542</v>
      </c>
      <c r="H124" s="8">
        <f t="shared" si="39"/>
        <v>0.36523278785157737</v>
      </c>
      <c r="I124" s="8">
        <f t="shared" si="39"/>
        <v>7.3990195055010322</v>
      </c>
      <c r="J124" s="8">
        <f t="shared" si="39"/>
        <v>4.2106743334371064</v>
      </c>
      <c r="K124" s="8">
        <f t="shared" si="39"/>
        <v>4.7802280706910008</v>
      </c>
      <c r="L124" s="8">
        <f t="shared" si="39"/>
        <v>7.1045380644203906</v>
      </c>
      <c r="M124" s="8">
        <f t="shared" si="39"/>
        <v>2.7398447534493671</v>
      </c>
      <c r="N124" s="8">
        <f t="shared" si="39"/>
        <v>0.30401049151915421</v>
      </c>
      <c r="O124" s="8">
        <f t="shared" si="39"/>
        <v>2.1932516163298588</v>
      </c>
      <c r="P124" s="8">
        <f t="shared" si="39"/>
        <v>4.606596026457157</v>
      </c>
      <c r="Q124" s="1"/>
      <c r="R124" s="26" t="s">
        <v>16</v>
      </c>
      <c r="S124" s="8">
        <f t="shared" si="35"/>
        <v>48.938030866020007</v>
      </c>
      <c r="T124" s="1"/>
    </row>
    <row r="125" spans="1:20" x14ac:dyDescent="0.2">
      <c r="A125" s="1"/>
      <c r="B125" s="26" t="s">
        <v>17</v>
      </c>
      <c r="C125" s="8">
        <f t="shared" ref="C125:P125" si="40">(C109/ C$112) *C$71*100</f>
        <v>2.1086279869965807</v>
      </c>
      <c r="D125" s="8">
        <f t="shared" si="40"/>
        <v>3.5151842842182286</v>
      </c>
      <c r="E125" s="8">
        <f t="shared" si="40"/>
        <v>3.8653350079186222</v>
      </c>
      <c r="F125" s="8">
        <f t="shared" si="40"/>
        <v>8.0060314532206682</v>
      </c>
      <c r="G125" s="8">
        <f t="shared" si="40"/>
        <v>0.44849239188306245</v>
      </c>
      <c r="H125" s="8">
        <f t="shared" si="40"/>
        <v>2.3506734414784911</v>
      </c>
      <c r="I125" s="8">
        <f t="shared" si="40"/>
        <v>7.1640385250841749</v>
      </c>
      <c r="J125" s="8">
        <f t="shared" si="40"/>
        <v>1.1668154542103479</v>
      </c>
      <c r="K125" s="8">
        <f t="shared" si="40"/>
        <v>1.9556937027284873</v>
      </c>
      <c r="L125" s="8">
        <f t="shared" si="40"/>
        <v>10.42996919648194</v>
      </c>
      <c r="M125" s="8">
        <f t="shared" si="40"/>
        <v>0.41447248899874845</v>
      </c>
      <c r="N125" s="8">
        <f t="shared" si="40"/>
        <v>0.50731456033370537</v>
      </c>
      <c r="O125" s="8">
        <f t="shared" si="40"/>
        <v>0.34539817409092766</v>
      </c>
      <c r="P125" s="8">
        <f t="shared" si="40"/>
        <v>6.5623629439798563</v>
      </c>
      <c r="Q125" s="1"/>
      <c r="R125" s="26" t="s">
        <v>17</v>
      </c>
      <c r="S125" s="8">
        <f t="shared" si="35"/>
        <v>48.840409611623834</v>
      </c>
      <c r="T125" s="1"/>
    </row>
    <row r="126" spans="1:20" x14ac:dyDescent="0.2">
      <c r="A126" s="1"/>
      <c r="B126" s="26" t="s">
        <v>18</v>
      </c>
      <c r="C126" s="8">
        <f t="shared" ref="C126:P126" si="41">(C110/ C$112) *C$71*100</f>
        <v>2.474814679565307</v>
      </c>
      <c r="D126" s="8">
        <f t="shared" si="41"/>
        <v>3.7582291016533231</v>
      </c>
      <c r="E126" s="8">
        <f t="shared" si="41"/>
        <v>0.45610649986443663</v>
      </c>
      <c r="F126" s="8">
        <f t="shared" si="41"/>
        <v>2.869126052473701</v>
      </c>
      <c r="G126" s="8">
        <f t="shared" si="41"/>
        <v>7.4844978072569663</v>
      </c>
      <c r="H126" s="8">
        <f t="shared" si="41"/>
        <v>1.6061331963683982</v>
      </c>
      <c r="I126" s="8">
        <f t="shared" si="41"/>
        <v>0.34959009299537303</v>
      </c>
      <c r="J126" s="8">
        <f t="shared" si="41"/>
        <v>0.27156284267306563</v>
      </c>
      <c r="K126" s="8">
        <f t="shared" si="41"/>
        <v>0.22958936675139555</v>
      </c>
      <c r="L126" s="8">
        <f t="shared" si="41"/>
        <v>9.0997967436573202</v>
      </c>
      <c r="M126" s="8">
        <f t="shared" si="41"/>
        <v>0.24837447010941849</v>
      </c>
      <c r="N126" s="8">
        <f t="shared" si="41"/>
        <v>0.91392269796280767</v>
      </c>
      <c r="O126" s="8">
        <f t="shared" si="41"/>
        <v>2.6552149768895905</v>
      </c>
      <c r="P126" s="8">
        <f t="shared" si="41"/>
        <v>6.2829676700480412</v>
      </c>
      <c r="Q126" s="1"/>
      <c r="R126" s="26" t="s">
        <v>18</v>
      </c>
      <c r="S126" s="8">
        <f t="shared" si="35"/>
        <v>38.699926198269139</v>
      </c>
      <c r="T126" s="1"/>
    </row>
    <row r="127" spans="1:20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1" x14ac:dyDescent="0.2">
      <c r="A129" s="1"/>
      <c r="B129" s="7" t="s">
        <v>43</v>
      </c>
      <c r="C129" s="7"/>
      <c r="D129" s="7"/>
      <c r="E129" s="7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1" x14ac:dyDescent="0.2">
      <c r="A131" s="1"/>
      <c r="B131" s="26" t="s">
        <v>43</v>
      </c>
      <c r="C131" s="26" t="s">
        <v>2</v>
      </c>
      <c r="D131" s="26" t="s">
        <v>3</v>
      </c>
      <c r="E131" s="26" t="s">
        <v>4</v>
      </c>
      <c r="F131" s="26" t="s">
        <v>5</v>
      </c>
      <c r="G131" s="26" t="s">
        <v>6</v>
      </c>
      <c r="H131" s="26" t="s">
        <v>7</v>
      </c>
      <c r="I131" s="26" t="s">
        <v>8</v>
      </c>
      <c r="J131" s="26" t="s">
        <v>9</v>
      </c>
      <c r="K131" s="26" t="s">
        <v>10</v>
      </c>
      <c r="L131" s="26" t="s">
        <v>55</v>
      </c>
      <c r="M131" s="26" t="s">
        <v>56</v>
      </c>
      <c r="N131" s="26" t="s">
        <v>57</v>
      </c>
      <c r="O131" s="26" t="s">
        <v>58</v>
      </c>
      <c r="P131" s="26" t="s">
        <v>59</v>
      </c>
      <c r="Q131" s="1"/>
      <c r="R131" s="1"/>
      <c r="S131" s="1"/>
      <c r="T131" s="1"/>
    </row>
    <row r="132" spans="1:21" x14ac:dyDescent="0.2">
      <c r="A132" s="1"/>
      <c r="B132" s="26" t="s">
        <v>11</v>
      </c>
      <c r="C132" s="8">
        <f t="shared" ref="C132:P132" si="42">(C$113/C103 ) *C$71*100</f>
        <v>0.27769452415294749</v>
      </c>
      <c r="D132" s="8">
        <f t="shared" si="42"/>
        <v>0.35560165756202178</v>
      </c>
      <c r="E132" s="8">
        <f t="shared" si="42"/>
        <v>1.9861024320015934</v>
      </c>
      <c r="F132" s="8">
        <f t="shared" si="42"/>
        <v>14.855238654216626</v>
      </c>
      <c r="G132" s="8">
        <f t="shared" si="42"/>
        <v>0.78109143182994611</v>
      </c>
      <c r="H132" s="8">
        <f t="shared" si="42"/>
        <v>0.57427595678495491</v>
      </c>
      <c r="I132" s="8">
        <f t="shared" si="42"/>
        <v>4.4248236607127627</v>
      </c>
      <c r="J132" s="8">
        <f t="shared" si="42"/>
        <v>0.27156284267306563</v>
      </c>
      <c r="K132" s="8">
        <f t="shared" si="42"/>
        <v>0.22958936675139555</v>
      </c>
      <c r="L132" s="8">
        <f t="shared" si="42"/>
        <v>10.42996919648194</v>
      </c>
      <c r="M132" s="8">
        <f t="shared" si="42"/>
        <v>0.24837447010941849</v>
      </c>
      <c r="N132" s="8">
        <f t="shared" si="42"/>
        <v>0.30401049151915421</v>
      </c>
      <c r="O132" s="8">
        <f t="shared" si="42"/>
        <v>0.34539817409092766</v>
      </c>
      <c r="P132" s="8">
        <f t="shared" si="42"/>
        <v>0.41566691747994883</v>
      </c>
      <c r="Q132" s="1"/>
      <c r="R132" s="1"/>
      <c r="S132" s="1"/>
      <c r="T132" s="1"/>
    </row>
    <row r="133" spans="1:21" x14ac:dyDescent="0.2">
      <c r="A133" s="1"/>
      <c r="B133" s="26" t="s">
        <v>12</v>
      </c>
      <c r="C133" s="8">
        <f t="shared" ref="C133:P133" si="43">(C$113/C104 ) *C$71*100</f>
        <v>0.27769452415294749</v>
      </c>
      <c r="D133" s="8">
        <f t="shared" si="43"/>
        <v>0.39214274795262338</v>
      </c>
      <c r="E133" s="8">
        <f t="shared" si="43"/>
        <v>3.5932127106073701</v>
      </c>
      <c r="F133" s="8">
        <f t="shared" si="43"/>
        <v>4.6757230309003202</v>
      </c>
      <c r="G133" s="8">
        <f t="shared" si="43"/>
        <v>0.44849239188306245</v>
      </c>
      <c r="H133" s="8">
        <f t="shared" si="43"/>
        <v>0.54318636079083804</v>
      </c>
      <c r="I133" s="8">
        <f t="shared" si="43"/>
        <v>4.4248236607127627</v>
      </c>
      <c r="J133" s="8">
        <f t="shared" si="43"/>
        <v>0.46221885800996731</v>
      </c>
      <c r="K133" s="8">
        <f t="shared" si="43"/>
        <v>0.22958936675139555</v>
      </c>
      <c r="L133" s="8">
        <f t="shared" si="43"/>
        <v>0.69873422180293021</v>
      </c>
      <c r="M133" s="8">
        <f t="shared" si="43"/>
        <v>0.2830388720650272</v>
      </c>
      <c r="N133" s="8">
        <f t="shared" si="43"/>
        <v>0.40887533337552989</v>
      </c>
      <c r="O133" s="8">
        <f t="shared" si="43"/>
        <v>0.39388302356482485</v>
      </c>
      <c r="P133" s="8">
        <f t="shared" si="43"/>
        <v>0.56688595198496083</v>
      </c>
      <c r="Q133" s="1"/>
      <c r="R133" s="1"/>
      <c r="S133" s="1"/>
      <c r="T133" s="1"/>
    </row>
    <row r="134" spans="1:21" x14ac:dyDescent="0.2">
      <c r="A134" s="1"/>
      <c r="B134" s="26" t="s">
        <v>13</v>
      </c>
      <c r="C134" s="8">
        <f t="shared" ref="C134:P134" si="44">(C$113/C105 ) *C$71*100</f>
        <v>0.3542118741553103</v>
      </c>
      <c r="D134" s="8">
        <f t="shared" si="44"/>
        <v>0.49358229302209555</v>
      </c>
      <c r="E134" s="8">
        <f t="shared" si="44"/>
        <v>0.4807987521580252</v>
      </c>
      <c r="F134" s="8">
        <f t="shared" si="44"/>
        <v>0.59544574685838525</v>
      </c>
      <c r="G134" s="8">
        <f t="shared" si="44"/>
        <v>3.0227235530618977</v>
      </c>
      <c r="H134" s="8">
        <f t="shared" si="44"/>
        <v>0.41000699071205743</v>
      </c>
      <c r="I134" s="8">
        <f t="shared" si="44"/>
        <v>0.41558102345717518</v>
      </c>
      <c r="J134" s="8">
        <f t="shared" si="44"/>
        <v>0.5895809737878116</v>
      </c>
      <c r="K134" s="8">
        <f t="shared" si="44"/>
        <v>0.25219927320070312</v>
      </c>
      <c r="L134" s="8">
        <f t="shared" si="44"/>
        <v>0.46861691120743154</v>
      </c>
      <c r="M134" s="8">
        <f t="shared" si="44"/>
        <v>0.36883241175278647</v>
      </c>
      <c r="N134" s="8">
        <f t="shared" si="44"/>
        <v>0.47431973841526959</v>
      </c>
      <c r="O134" s="8">
        <f t="shared" si="44"/>
        <v>0.77430590356143647</v>
      </c>
      <c r="P134" s="8">
        <f t="shared" si="44"/>
        <v>1.8358734382044155</v>
      </c>
      <c r="Q134" s="1"/>
      <c r="R134" s="1"/>
      <c r="S134" s="1"/>
      <c r="T134" s="1"/>
    </row>
    <row r="135" spans="1:21" x14ac:dyDescent="0.2">
      <c r="A135" s="1"/>
      <c r="B135" s="26" t="s">
        <v>14</v>
      </c>
      <c r="C135" s="8">
        <f t="shared" ref="C135:P135" si="45">(C$113/C106 ) *C$71*100</f>
        <v>0.27769452415294749</v>
      </c>
      <c r="D135" s="8">
        <f t="shared" si="45"/>
        <v>0.52770927146682023</v>
      </c>
      <c r="E135" s="8">
        <f t="shared" si="45"/>
        <v>0.45610649986443663</v>
      </c>
      <c r="F135" s="8">
        <f t="shared" si="45"/>
        <v>0.49471293615849266</v>
      </c>
      <c r="G135" s="8">
        <f t="shared" si="45"/>
        <v>1.0120158544540672</v>
      </c>
      <c r="H135" s="8">
        <f t="shared" si="45"/>
        <v>0.36523278785157737</v>
      </c>
      <c r="I135" s="8">
        <f t="shared" si="45"/>
        <v>0.512282925448725</v>
      </c>
      <c r="J135" s="8">
        <f t="shared" si="45"/>
        <v>0.55158438763505024</v>
      </c>
      <c r="K135" s="8">
        <f t="shared" si="45"/>
        <v>0.27974887626435435</v>
      </c>
      <c r="L135" s="8">
        <f t="shared" si="45"/>
        <v>0.51999234220129109</v>
      </c>
      <c r="M135" s="8">
        <f t="shared" si="45"/>
        <v>0.3120754258852555</v>
      </c>
      <c r="N135" s="8">
        <f t="shared" si="45"/>
        <v>0.33876378455958411</v>
      </c>
      <c r="O135" s="8">
        <f t="shared" si="45"/>
        <v>0.72433568898325174</v>
      </c>
      <c r="P135" s="8">
        <f t="shared" si="45"/>
        <v>10.473896779025251</v>
      </c>
      <c r="Q135" s="1"/>
      <c r="R135" s="1"/>
      <c r="S135" s="1"/>
      <c r="T135" s="1"/>
    </row>
    <row r="136" spans="1:21" x14ac:dyDescent="0.2">
      <c r="A136" s="1"/>
      <c r="B136" s="26" t="s">
        <v>15</v>
      </c>
      <c r="C136" s="8">
        <f t="shared" ref="C136:P136" si="46">(C$113/C107 ) *C$71*100</f>
        <v>1.1384420093242693</v>
      </c>
      <c r="D136" s="8">
        <f t="shared" si="46"/>
        <v>0.80653366961807738</v>
      </c>
      <c r="E136" s="8">
        <f t="shared" si="46"/>
        <v>0.57402712750394169</v>
      </c>
      <c r="F136" s="8">
        <f t="shared" si="46"/>
        <v>0.47190353212511621</v>
      </c>
      <c r="G136" s="8">
        <f t="shared" si="46"/>
        <v>2.0969020625758334</v>
      </c>
      <c r="H136" s="8">
        <f t="shared" si="46"/>
        <v>0.87463880525420667</v>
      </c>
      <c r="I136" s="8">
        <f t="shared" si="46"/>
        <v>0.34959009299537303</v>
      </c>
      <c r="J136" s="8">
        <f t="shared" si="46"/>
        <v>0.36394418583948318</v>
      </c>
      <c r="K136" s="8">
        <f t="shared" si="46"/>
        <v>0.2366616822636595</v>
      </c>
      <c r="L136" s="8">
        <f t="shared" si="46"/>
        <v>0.60901588611859681</v>
      </c>
      <c r="M136" s="8">
        <f t="shared" si="46"/>
        <v>0.32894861003424075</v>
      </c>
      <c r="N136" s="8">
        <f t="shared" si="46"/>
        <v>0.6976512345693735</v>
      </c>
      <c r="O136" s="8">
        <f t="shared" si="46"/>
        <v>1.1820349514363111</v>
      </c>
      <c r="P136" s="8">
        <f t="shared" si="46"/>
        <v>10.473896779025251</v>
      </c>
      <c r="Q136" s="1"/>
      <c r="R136" s="1"/>
      <c r="S136" s="1"/>
      <c r="T136" s="1"/>
    </row>
    <row r="137" spans="1:21" x14ac:dyDescent="0.2">
      <c r="A137" s="1"/>
      <c r="B137" s="26" t="s">
        <v>16</v>
      </c>
      <c r="C137" s="8">
        <f t="shared" ref="C137:P137" si="47">(C$113/C108 ) *C$71*100</f>
        <v>3.3902814109871242</v>
      </c>
      <c r="D137" s="8">
        <f t="shared" si="47"/>
        <v>5.2164980062638788</v>
      </c>
      <c r="E137" s="8">
        <f t="shared" si="47"/>
        <v>3.5932127106073701</v>
      </c>
      <c r="F137" s="8">
        <f t="shared" si="47"/>
        <v>0.54765458104761211</v>
      </c>
      <c r="G137" s="8">
        <f t="shared" si="47"/>
        <v>3.8790629948745852</v>
      </c>
      <c r="H137" s="8">
        <f t="shared" si="47"/>
        <v>6.8179149121390452</v>
      </c>
      <c r="I137" s="8">
        <f t="shared" si="47"/>
        <v>0.34959009299537303</v>
      </c>
      <c r="J137" s="8">
        <f t="shared" si="47"/>
        <v>0.36394418583948318</v>
      </c>
      <c r="K137" s="8">
        <f t="shared" si="47"/>
        <v>0.25219927320070312</v>
      </c>
      <c r="L137" s="8">
        <f t="shared" si="47"/>
        <v>0.66602847073014981</v>
      </c>
      <c r="M137" s="8">
        <f t="shared" si="47"/>
        <v>0.36883241175278647</v>
      </c>
      <c r="N137" s="8">
        <f t="shared" si="47"/>
        <v>3.9634837301810748</v>
      </c>
      <c r="O137" s="8">
        <f t="shared" si="47"/>
        <v>1.1820349514363111</v>
      </c>
      <c r="P137" s="8">
        <f t="shared" si="47"/>
        <v>0.94509098760476729</v>
      </c>
      <c r="Q137" s="1"/>
      <c r="R137" s="1"/>
      <c r="S137" s="1"/>
      <c r="T137" s="1"/>
    </row>
    <row r="138" spans="1:21" x14ac:dyDescent="0.2">
      <c r="A138" s="1"/>
      <c r="B138" s="26" t="s">
        <v>17</v>
      </c>
      <c r="C138" s="8">
        <f t="shared" ref="C138:P138" si="48">(C$113/C109 ) *C$71*100</f>
        <v>0.44648111899037385</v>
      </c>
      <c r="D138" s="8">
        <f t="shared" si="48"/>
        <v>0.52770927146682023</v>
      </c>
      <c r="E138" s="8">
        <f t="shared" si="48"/>
        <v>0.71210686657445299</v>
      </c>
      <c r="F138" s="8">
        <f t="shared" si="48"/>
        <v>0.87561979145938784</v>
      </c>
      <c r="G138" s="8">
        <f t="shared" si="48"/>
        <v>8.9503322687931988</v>
      </c>
      <c r="H138" s="8">
        <f t="shared" si="48"/>
        <v>1.0593245436631911</v>
      </c>
      <c r="I138" s="8">
        <f t="shared" si="48"/>
        <v>0.36105667326409208</v>
      </c>
      <c r="J138" s="8">
        <f t="shared" si="48"/>
        <v>1.3133614545370198</v>
      </c>
      <c r="K138" s="8">
        <f t="shared" si="48"/>
        <v>0.61644113466230321</v>
      </c>
      <c r="L138" s="8">
        <f t="shared" si="48"/>
        <v>0.45367580029729243</v>
      </c>
      <c r="M138" s="8">
        <f t="shared" si="48"/>
        <v>2.4381438456485829</v>
      </c>
      <c r="N138" s="8">
        <f t="shared" si="48"/>
        <v>2.3751351353840979</v>
      </c>
      <c r="O138" s="8">
        <f t="shared" si="48"/>
        <v>7.5058302627667839</v>
      </c>
      <c r="P138" s="8">
        <f t="shared" si="48"/>
        <v>0.66342755274371423</v>
      </c>
      <c r="Q138" s="1"/>
      <c r="R138" s="1"/>
      <c r="S138" s="1"/>
      <c r="T138" s="1"/>
    </row>
    <row r="139" spans="1:21" x14ac:dyDescent="0.2">
      <c r="A139" s="1"/>
      <c r="B139" s="26" t="s">
        <v>18</v>
      </c>
      <c r="C139" s="8">
        <f t="shared" ref="C139:P139" si="49">(C$113/C110 ) *C$71*100</f>
        <v>0.38041740698500204</v>
      </c>
      <c r="D139" s="8">
        <f t="shared" si="49"/>
        <v>0.49358229302209555</v>
      </c>
      <c r="E139" s="8">
        <f t="shared" si="49"/>
        <v>6.0348440584985594</v>
      </c>
      <c r="F139" s="8">
        <f t="shared" si="49"/>
        <v>2.4433362157240528</v>
      </c>
      <c r="G139" s="8">
        <f t="shared" si="49"/>
        <v>0.53632936113456986</v>
      </c>
      <c r="H139" s="8">
        <f t="shared" si="49"/>
        <v>1.550385781407027</v>
      </c>
      <c r="I139" s="8">
        <f t="shared" si="49"/>
        <v>7.3990195055010322</v>
      </c>
      <c r="J139" s="8">
        <f t="shared" si="49"/>
        <v>5.643078511896757</v>
      </c>
      <c r="K139" s="8">
        <f t="shared" si="49"/>
        <v>5.2509837986847527</v>
      </c>
      <c r="L139" s="8">
        <f t="shared" si="49"/>
        <v>0.51999234220129109</v>
      </c>
      <c r="M139" s="8">
        <f t="shared" si="49"/>
        <v>4.0686289045640054</v>
      </c>
      <c r="N139" s="8">
        <f t="shared" si="49"/>
        <v>1.3184273020315715</v>
      </c>
      <c r="O139" s="8">
        <f t="shared" si="49"/>
        <v>0.97638047779958592</v>
      </c>
      <c r="P139" s="8">
        <f t="shared" si="49"/>
        <v>0.69292929977901696</v>
      </c>
      <c r="Q139" s="1"/>
      <c r="R139" s="1"/>
      <c r="S139" s="1"/>
      <c r="T139" s="1"/>
    </row>
    <row r="140" spans="1:2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1" x14ac:dyDescent="0.2">
      <c r="A141" s="1"/>
      <c r="B141" s="26" t="s">
        <v>21</v>
      </c>
      <c r="C141" s="8">
        <f>MAX(C132:C139)</f>
        <v>3.3902814109871242</v>
      </c>
      <c r="D141" s="8">
        <f t="shared" ref="D141:P141" si="50">MAX(D132:D139)</f>
        <v>5.2164980062638788</v>
      </c>
      <c r="E141" s="8">
        <f t="shared" si="50"/>
        <v>6.0348440584985594</v>
      </c>
      <c r="F141" s="8">
        <f t="shared" si="50"/>
        <v>14.855238654216626</v>
      </c>
      <c r="G141" s="8">
        <f t="shared" si="50"/>
        <v>8.9503322687931988</v>
      </c>
      <c r="H141" s="8">
        <f t="shared" si="50"/>
        <v>6.8179149121390452</v>
      </c>
      <c r="I141" s="8">
        <f t="shared" si="50"/>
        <v>7.3990195055010322</v>
      </c>
      <c r="J141" s="8">
        <f t="shared" si="50"/>
        <v>5.643078511896757</v>
      </c>
      <c r="K141" s="8">
        <f t="shared" si="50"/>
        <v>5.2509837986847527</v>
      </c>
      <c r="L141" s="8">
        <f t="shared" si="50"/>
        <v>10.42996919648194</v>
      </c>
      <c r="M141" s="8">
        <f t="shared" si="50"/>
        <v>4.0686289045640054</v>
      </c>
      <c r="N141" s="8">
        <f t="shared" si="50"/>
        <v>3.9634837301810748</v>
      </c>
      <c r="O141" s="8">
        <f t="shared" si="50"/>
        <v>7.5058302627667839</v>
      </c>
      <c r="P141" s="8">
        <f t="shared" si="50"/>
        <v>10.473896779025251</v>
      </c>
      <c r="Q141" s="1"/>
      <c r="R141" s="1"/>
      <c r="S141" s="1"/>
      <c r="T141" s="1"/>
    </row>
    <row r="142" spans="1:21" x14ac:dyDescent="0.2">
      <c r="A142" s="1"/>
      <c r="B142" s="26" t="s">
        <v>25</v>
      </c>
      <c r="C142" s="8">
        <f>MIN(C132:C139)</f>
        <v>0.27769452415294749</v>
      </c>
      <c r="D142" s="8">
        <f t="shared" ref="D142:P142" si="51">MIN(D132:D139)</f>
        <v>0.35560165756202178</v>
      </c>
      <c r="E142" s="8">
        <f t="shared" si="51"/>
        <v>0.45610649986443663</v>
      </c>
      <c r="F142" s="8">
        <f t="shared" si="51"/>
        <v>0.47190353212511621</v>
      </c>
      <c r="G142" s="8">
        <f t="shared" si="51"/>
        <v>0.44849239188306245</v>
      </c>
      <c r="H142" s="8">
        <f t="shared" si="51"/>
        <v>0.36523278785157737</v>
      </c>
      <c r="I142" s="8">
        <f t="shared" si="51"/>
        <v>0.34959009299537303</v>
      </c>
      <c r="J142" s="8">
        <f t="shared" si="51"/>
        <v>0.27156284267306563</v>
      </c>
      <c r="K142" s="8">
        <f t="shared" si="51"/>
        <v>0.22958936675139555</v>
      </c>
      <c r="L142" s="8">
        <f t="shared" si="51"/>
        <v>0.45367580029729243</v>
      </c>
      <c r="M142" s="8">
        <f t="shared" si="51"/>
        <v>0.24837447010941849</v>
      </c>
      <c r="N142" s="8">
        <f t="shared" si="51"/>
        <v>0.30401049151915421</v>
      </c>
      <c r="O142" s="8">
        <f t="shared" si="51"/>
        <v>0.34539817409092766</v>
      </c>
      <c r="P142" s="8">
        <f t="shared" si="51"/>
        <v>0.41566691747994883</v>
      </c>
      <c r="Q142" s="1"/>
      <c r="R142" s="1"/>
      <c r="S142" s="1"/>
      <c r="T142" s="1"/>
    </row>
    <row r="143" spans="1:2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3"/>
      <c r="U144" s="11"/>
    </row>
    <row r="145" spans="1:20" x14ac:dyDescent="0.2">
      <c r="B145" s="37" t="s">
        <v>96</v>
      </c>
      <c r="C145" s="37"/>
      <c r="D145" s="37"/>
      <c r="E145" s="37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7" t="s">
        <v>102</v>
      </c>
      <c r="R145" s="37"/>
      <c r="S145" s="37"/>
      <c r="T145" s="37"/>
    </row>
    <row r="146" spans="1:20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x14ac:dyDescent="0.2">
      <c r="A147" s="1"/>
      <c r="B147" s="26" t="s">
        <v>44</v>
      </c>
      <c r="C147" s="26" t="s">
        <v>2</v>
      </c>
      <c r="D147" s="26" t="s">
        <v>3</v>
      </c>
      <c r="E147" s="26" t="s">
        <v>4</v>
      </c>
      <c r="F147" s="26" t="s">
        <v>5</v>
      </c>
      <c r="G147" s="26" t="s">
        <v>6</v>
      </c>
      <c r="H147" s="26" t="s">
        <v>7</v>
      </c>
      <c r="I147" s="26" t="s">
        <v>8</v>
      </c>
      <c r="J147" s="26" t="s">
        <v>9</v>
      </c>
      <c r="K147" s="26" t="s">
        <v>10</v>
      </c>
      <c r="L147" s="26" t="s">
        <v>55</v>
      </c>
      <c r="M147" s="26" t="s">
        <v>56</v>
      </c>
      <c r="N147" s="26" t="s">
        <v>57</v>
      </c>
      <c r="O147" s="26" t="s">
        <v>58</v>
      </c>
      <c r="P147" s="26" t="s">
        <v>59</v>
      </c>
      <c r="Q147" s="1"/>
      <c r="R147" s="26"/>
      <c r="S147" s="26" t="s">
        <v>46</v>
      </c>
      <c r="T147" s="1"/>
    </row>
    <row r="148" spans="1:20" x14ac:dyDescent="0.2">
      <c r="A148" s="1"/>
      <c r="B148" s="26" t="s">
        <v>11</v>
      </c>
      <c r="C148" s="8">
        <f t="shared" ref="C148:C155" si="52">-C132+C$141+C$142</f>
        <v>3.3902814109871242</v>
      </c>
      <c r="D148" s="8">
        <f t="shared" ref="D148:P148" si="53">-D132+D$141+D$142</f>
        <v>5.2164980062638788</v>
      </c>
      <c r="E148" s="8">
        <f t="shared" si="53"/>
        <v>4.5048481263614022</v>
      </c>
      <c r="F148" s="8">
        <f t="shared" si="53"/>
        <v>0.47190353212511621</v>
      </c>
      <c r="G148" s="8">
        <f t="shared" si="53"/>
        <v>8.6177332288463155</v>
      </c>
      <c r="H148" s="8">
        <f t="shared" si="53"/>
        <v>6.6088717432056674</v>
      </c>
      <c r="I148" s="8">
        <f t="shared" si="53"/>
        <v>3.3237859377836427</v>
      </c>
      <c r="J148" s="8">
        <f t="shared" si="53"/>
        <v>5.643078511896757</v>
      </c>
      <c r="K148" s="8">
        <f t="shared" si="53"/>
        <v>5.2509837986847527</v>
      </c>
      <c r="L148" s="8">
        <f t="shared" si="53"/>
        <v>0.45367580029729243</v>
      </c>
      <c r="M148" s="8">
        <f t="shared" si="53"/>
        <v>4.0686289045640054</v>
      </c>
      <c r="N148" s="8">
        <f t="shared" si="53"/>
        <v>3.9634837301810748</v>
      </c>
      <c r="O148" s="8">
        <f t="shared" si="53"/>
        <v>7.5058302627667839</v>
      </c>
      <c r="P148" s="8">
        <f t="shared" si="53"/>
        <v>10.473896779025251</v>
      </c>
      <c r="Q148" s="1"/>
      <c r="R148" s="26" t="s">
        <v>11</v>
      </c>
      <c r="S148" s="8">
        <f>SUM(C148:P148)</f>
        <v>69.493499772989054</v>
      </c>
      <c r="T148" s="1"/>
    </row>
    <row r="149" spans="1:20" x14ac:dyDescent="0.2">
      <c r="A149" s="1"/>
      <c r="B149" s="26" t="s">
        <v>12</v>
      </c>
      <c r="C149" s="8">
        <f t="shared" si="52"/>
        <v>3.3902814109871242</v>
      </c>
      <c r="D149" s="8">
        <f t="shared" ref="D149:P149" si="54">-D133+D$141+D$142</f>
        <v>5.1799569158732774</v>
      </c>
      <c r="E149" s="8">
        <f t="shared" si="54"/>
        <v>2.8977378477556259</v>
      </c>
      <c r="F149" s="8">
        <f t="shared" si="54"/>
        <v>10.651419155441422</v>
      </c>
      <c r="G149" s="8">
        <f t="shared" si="54"/>
        <v>8.9503322687931988</v>
      </c>
      <c r="H149" s="8">
        <f t="shared" si="54"/>
        <v>6.6399613391997852</v>
      </c>
      <c r="I149" s="8">
        <f t="shared" si="54"/>
        <v>3.3237859377836427</v>
      </c>
      <c r="J149" s="8">
        <f t="shared" si="54"/>
        <v>5.4524224965598558</v>
      </c>
      <c r="K149" s="8">
        <f t="shared" si="54"/>
        <v>5.2509837986847527</v>
      </c>
      <c r="L149" s="8">
        <f t="shared" si="54"/>
        <v>10.184910774976302</v>
      </c>
      <c r="M149" s="8">
        <f t="shared" si="54"/>
        <v>4.0339645026083968</v>
      </c>
      <c r="N149" s="8">
        <f t="shared" si="54"/>
        <v>3.858618888324699</v>
      </c>
      <c r="O149" s="8">
        <f t="shared" si="54"/>
        <v>7.4573454132928871</v>
      </c>
      <c r="P149" s="8">
        <f t="shared" si="54"/>
        <v>10.32267774452024</v>
      </c>
      <c r="Q149" s="1"/>
      <c r="R149" s="26" t="s">
        <v>12</v>
      </c>
      <c r="S149" s="8">
        <f>SUM(C149:P149)</f>
        <v>87.594398494801197</v>
      </c>
      <c r="T149" s="1"/>
    </row>
    <row r="150" spans="1:20" x14ac:dyDescent="0.2">
      <c r="A150" s="1"/>
      <c r="B150" s="26" t="s">
        <v>13</v>
      </c>
      <c r="C150" s="8">
        <f t="shared" si="52"/>
        <v>3.3137640609847616</v>
      </c>
      <c r="D150" s="8">
        <f t="shared" ref="D150:P150" si="55">-D134+D$141+D$142</f>
        <v>5.0785173708038052</v>
      </c>
      <c r="E150" s="8">
        <f t="shared" si="55"/>
        <v>6.0101518062049717</v>
      </c>
      <c r="F150" s="8">
        <f t="shared" si="55"/>
        <v>14.731696439483358</v>
      </c>
      <c r="G150" s="8">
        <f t="shared" si="55"/>
        <v>6.3761011076143639</v>
      </c>
      <c r="H150" s="8">
        <f t="shared" si="55"/>
        <v>6.7731407092785654</v>
      </c>
      <c r="I150" s="8">
        <f t="shared" si="55"/>
        <v>7.3330285750392301</v>
      </c>
      <c r="J150" s="8">
        <f t="shared" si="55"/>
        <v>5.3250603807820109</v>
      </c>
      <c r="K150" s="8">
        <f t="shared" si="55"/>
        <v>5.228373892235445</v>
      </c>
      <c r="L150" s="8">
        <f t="shared" si="55"/>
        <v>10.4150280855718</v>
      </c>
      <c r="M150" s="8">
        <f t="shared" si="55"/>
        <v>3.9481709629206376</v>
      </c>
      <c r="N150" s="8">
        <f t="shared" si="55"/>
        <v>3.7931744832849592</v>
      </c>
      <c r="O150" s="8">
        <f t="shared" si="55"/>
        <v>7.0769225332962753</v>
      </c>
      <c r="P150" s="8">
        <f t="shared" si="55"/>
        <v>9.0536902583007848</v>
      </c>
      <c r="Q150" s="1"/>
      <c r="R150" s="26" t="s">
        <v>13</v>
      </c>
      <c r="S150" s="8">
        <f t="shared" ref="S150:S155" si="56">SUM(C150:P150)</f>
        <v>94.456820665800976</v>
      </c>
      <c r="T150" s="1"/>
    </row>
    <row r="151" spans="1:20" x14ac:dyDescent="0.2">
      <c r="A151" s="1"/>
      <c r="B151" s="26" t="s">
        <v>14</v>
      </c>
      <c r="C151" s="8">
        <f t="shared" si="52"/>
        <v>3.3902814109871242</v>
      </c>
      <c r="D151" s="8">
        <f t="shared" ref="D151:P151" si="57">-D135+D$141+D$142</f>
        <v>5.0443903923590803</v>
      </c>
      <c r="E151" s="8">
        <f t="shared" si="57"/>
        <v>6.0348440584985585</v>
      </c>
      <c r="F151" s="8">
        <f t="shared" si="57"/>
        <v>14.83242925018325</v>
      </c>
      <c r="G151" s="8">
        <f t="shared" si="57"/>
        <v>8.3868088062221933</v>
      </c>
      <c r="H151" s="8">
        <f t="shared" si="57"/>
        <v>6.8179149121390452</v>
      </c>
      <c r="I151" s="8">
        <f t="shared" si="57"/>
        <v>7.2363266730476807</v>
      </c>
      <c r="J151" s="8">
        <f t="shared" si="57"/>
        <v>5.3630569669347725</v>
      </c>
      <c r="K151" s="8">
        <f t="shared" si="57"/>
        <v>5.200824289171794</v>
      </c>
      <c r="L151" s="8">
        <f t="shared" si="57"/>
        <v>10.36365265457794</v>
      </c>
      <c r="M151" s="8">
        <f t="shared" si="57"/>
        <v>4.0049279487881684</v>
      </c>
      <c r="N151" s="8">
        <f t="shared" si="57"/>
        <v>3.9287304371406448</v>
      </c>
      <c r="O151" s="8">
        <f t="shared" si="57"/>
        <v>7.1268927478744599</v>
      </c>
      <c r="P151" s="8">
        <f t="shared" si="57"/>
        <v>0.41566691747994883</v>
      </c>
      <c r="Q151" s="1"/>
      <c r="R151" s="26" t="s">
        <v>14</v>
      </c>
      <c r="S151" s="8">
        <f t="shared" si="56"/>
        <v>88.146747465404658</v>
      </c>
      <c r="T151" s="1"/>
    </row>
    <row r="152" spans="1:20" x14ac:dyDescent="0.2">
      <c r="A152" s="1"/>
      <c r="B152" s="26" t="s">
        <v>15</v>
      </c>
      <c r="C152" s="8">
        <f t="shared" si="52"/>
        <v>2.5295339258158025</v>
      </c>
      <c r="D152" s="8">
        <f t="shared" ref="D152:P152" si="58">-D136+D$141+D$142</f>
        <v>4.7655659942078232</v>
      </c>
      <c r="E152" s="8">
        <f t="shared" si="58"/>
        <v>5.9169234308590539</v>
      </c>
      <c r="F152" s="8">
        <f t="shared" si="58"/>
        <v>14.855238654216626</v>
      </c>
      <c r="G152" s="8">
        <f t="shared" si="58"/>
        <v>7.3019225981004281</v>
      </c>
      <c r="H152" s="8">
        <f t="shared" si="58"/>
        <v>6.3085088947364163</v>
      </c>
      <c r="I152" s="8">
        <f t="shared" si="58"/>
        <v>7.3990195055010322</v>
      </c>
      <c r="J152" s="8">
        <f t="shared" si="58"/>
        <v>5.5506971687303395</v>
      </c>
      <c r="K152" s="8">
        <f t="shared" si="58"/>
        <v>5.2439114831724885</v>
      </c>
      <c r="L152" s="8">
        <f t="shared" si="58"/>
        <v>10.274629110660635</v>
      </c>
      <c r="M152" s="8">
        <f t="shared" si="58"/>
        <v>3.9880547646391831</v>
      </c>
      <c r="N152" s="8">
        <f t="shared" si="58"/>
        <v>3.5698429871308557</v>
      </c>
      <c r="O152" s="8">
        <f t="shared" si="58"/>
        <v>6.6691934854214008</v>
      </c>
      <c r="P152" s="8">
        <f t="shared" si="58"/>
        <v>0.41566691747994883</v>
      </c>
      <c r="Q152" s="1"/>
      <c r="R152" s="26" t="s">
        <v>15</v>
      </c>
      <c r="S152" s="8">
        <f t="shared" si="56"/>
        <v>84.788708920672036</v>
      </c>
      <c r="T152" s="1"/>
    </row>
    <row r="153" spans="1:20" x14ac:dyDescent="0.2">
      <c r="A153" s="1"/>
      <c r="B153" s="26" t="s">
        <v>16</v>
      </c>
      <c r="C153" s="8">
        <f t="shared" si="52"/>
        <v>0.27769452415294749</v>
      </c>
      <c r="D153" s="8">
        <f t="shared" ref="D153:P153" si="59">-D137+D$141+D$142</f>
        <v>0.35560165756202178</v>
      </c>
      <c r="E153" s="8">
        <f t="shared" si="59"/>
        <v>2.8977378477556259</v>
      </c>
      <c r="F153" s="8">
        <f t="shared" si="59"/>
        <v>14.779487605294131</v>
      </c>
      <c r="G153" s="8">
        <f t="shared" si="59"/>
        <v>5.5197616658016759</v>
      </c>
      <c r="H153" s="8">
        <f t="shared" si="59"/>
        <v>0.36523278785157737</v>
      </c>
      <c r="I153" s="8">
        <f t="shared" si="59"/>
        <v>7.3990195055010322</v>
      </c>
      <c r="J153" s="8">
        <f t="shared" si="59"/>
        <v>5.5506971687303395</v>
      </c>
      <c r="K153" s="8">
        <f t="shared" si="59"/>
        <v>5.228373892235445</v>
      </c>
      <c r="L153" s="8">
        <f t="shared" si="59"/>
        <v>10.217616526049083</v>
      </c>
      <c r="M153" s="8">
        <f t="shared" si="59"/>
        <v>3.9481709629206376</v>
      </c>
      <c r="N153" s="8">
        <f t="shared" si="59"/>
        <v>0.30401049151915421</v>
      </c>
      <c r="O153" s="8">
        <f t="shared" si="59"/>
        <v>6.6691934854214008</v>
      </c>
      <c r="P153" s="8">
        <f t="shared" si="59"/>
        <v>9.9444727089004346</v>
      </c>
      <c r="Q153" s="1"/>
      <c r="R153" s="26" t="s">
        <v>16</v>
      </c>
      <c r="S153" s="8">
        <f t="shared" si="56"/>
        <v>73.45707082969551</v>
      </c>
      <c r="T153" s="1"/>
    </row>
    <row r="154" spans="1:20" x14ac:dyDescent="0.2">
      <c r="A154" s="1"/>
      <c r="B154" s="26" t="s">
        <v>17</v>
      </c>
      <c r="C154" s="8">
        <f t="shared" si="52"/>
        <v>3.2214948161496979</v>
      </c>
      <c r="D154" s="8">
        <f t="shared" ref="D154:P154" si="60">-D138+D$141+D$142</f>
        <v>5.0443903923590803</v>
      </c>
      <c r="E154" s="8">
        <f t="shared" si="60"/>
        <v>5.7788436917885431</v>
      </c>
      <c r="F154" s="8">
        <f t="shared" si="60"/>
        <v>14.451522394882355</v>
      </c>
      <c r="G154" s="8">
        <f t="shared" si="60"/>
        <v>0.44849239188306245</v>
      </c>
      <c r="H154" s="8">
        <f t="shared" si="60"/>
        <v>6.1238231563274317</v>
      </c>
      <c r="I154" s="8">
        <f t="shared" si="60"/>
        <v>7.3875529252323133</v>
      </c>
      <c r="J154" s="8">
        <f t="shared" si="60"/>
        <v>4.6012799000328028</v>
      </c>
      <c r="K154" s="8">
        <f t="shared" si="60"/>
        <v>4.8641320307738445</v>
      </c>
      <c r="L154" s="8">
        <f t="shared" si="60"/>
        <v>10.42996919648194</v>
      </c>
      <c r="M154" s="8">
        <f t="shared" si="60"/>
        <v>1.8788595290248411</v>
      </c>
      <c r="N154" s="8">
        <f t="shared" si="60"/>
        <v>1.892359086316131</v>
      </c>
      <c r="O154" s="8">
        <f t="shared" si="60"/>
        <v>0.34539817409092766</v>
      </c>
      <c r="P154" s="8">
        <f t="shared" si="60"/>
        <v>10.226136143761487</v>
      </c>
      <c r="Q154" s="1"/>
      <c r="R154" s="26" t="s">
        <v>17</v>
      </c>
      <c r="S154" s="8">
        <f t="shared" si="56"/>
        <v>76.694253829104468</v>
      </c>
      <c r="T154" s="1"/>
    </row>
    <row r="155" spans="1:20" x14ac:dyDescent="0.2">
      <c r="A155" s="1"/>
      <c r="B155" s="26" t="s">
        <v>18</v>
      </c>
      <c r="C155" s="8">
        <f t="shared" si="52"/>
        <v>3.2875585281550697</v>
      </c>
      <c r="D155" s="8">
        <f t="shared" ref="D155:P155" si="61">-D139+D$141+D$142</f>
        <v>5.0785173708038052</v>
      </c>
      <c r="E155" s="8">
        <f t="shared" si="61"/>
        <v>0.45610649986443663</v>
      </c>
      <c r="F155" s="8">
        <f t="shared" si="61"/>
        <v>12.88380597061769</v>
      </c>
      <c r="G155" s="8">
        <f t="shared" si="61"/>
        <v>8.8624952995416919</v>
      </c>
      <c r="H155" s="8">
        <f t="shared" si="61"/>
        <v>5.6327619185835962</v>
      </c>
      <c r="I155" s="8">
        <f t="shared" si="61"/>
        <v>0.34959009299537303</v>
      </c>
      <c r="J155" s="8">
        <f t="shared" si="61"/>
        <v>0.27156284267306563</v>
      </c>
      <c r="K155" s="8">
        <f t="shared" si="61"/>
        <v>0.22958936675139555</v>
      </c>
      <c r="L155" s="8">
        <f t="shared" si="61"/>
        <v>10.36365265457794</v>
      </c>
      <c r="M155" s="8">
        <f t="shared" si="61"/>
        <v>0.24837447010941849</v>
      </c>
      <c r="N155" s="8">
        <f t="shared" si="61"/>
        <v>2.9490669196686574</v>
      </c>
      <c r="O155" s="8">
        <f t="shared" si="61"/>
        <v>6.8748479590581262</v>
      </c>
      <c r="P155" s="8">
        <f t="shared" si="61"/>
        <v>10.196634396726184</v>
      </c>
      <c r="Q155" s="1"/>
      <c r="R155" s="26" t="s">
        <v>18</v>
      </c>
      <c r="S155" s="8">
        <f t="shared" si="56"/>
        <v>67.684564290126445</v>
      </c>
      <c r="T155" s="1"/>
    </row>
    <row r="156" spans="1:20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x14ac:dyDescent="0.2">
      <c r="A158" s="7" t="s">
        <v>90</v>
      </c>
      <c r="B158" s="37" t="s">
        <v>97</v>
      </c>
      <c r="C158" s="37"/>
      <c r="D158" s="37"/>
      <c r="E158" s="37"/>
      <c r="F158" s="27" t="s">
        <v>98</v>
      </c>
      <c r="G158" s="25">
        <v>0.5</v>
      </c>
      <c r="H158" s="1"/>
      <c r="I158" s="1"/>
      <c r="J158" s="42" t="s">
        <v>75</v>
      </c>
      <c r="K158" s="43"/>
      <c r="L158" s="43"/>
      <c r="M158" s="43"/>
      <c r="N158" s="43"/>
      <c r="O158" s="44"/>
      <c r="P158" s="1"/>
      <c r="S158" s="1"/>
      <c r="T158" s="1"/>
    </row>
    <row r="159" spans="1:20" x14ac:dyDescent="0.2">
      <c r="A159" s="1"/>
      <c r="B159" s="1"/>
      <c r="C159" s="1"/>
      <c r="D159" s="1"/>
      <c r="E159" s="1"/>
      <c r="F159" s="1"/>
      <c r="G159" s="1"/>
      <c r="H159" s="1"/>
      <c r="I159" s="4"/>
      <c r="J159" s="30">
        <v>1</v>
      </c>
      <c r="K159" s="39" t="s">
        <v>63</v>
      </c>
      <c r="L159" s="40"/>
      <c r="M159" s="30">
        <v>1</v>
      </c>
      <c r="N159" s="39" t="s">
        <v>49</v>
      </c>
      <c r="O159" s="40"/>
      <c r="P159" s="1"/>
      <c r="R159" s="21"/>
      <c r="S159" s="1"/>
      <c r="T159" s="1"/>
    </row>
    <row r="160" spans="1:20" x14ac:dyDescent="0.2">
      <c r="A160" s="1"/>
      <c r="B160" s="26"/>
      <c r="C160" s="26" t="s">
        <v>99</v>
      </c>
      <c r="D160" s="34" t="s">
        <v>100</v>
      </c>
      <c r="E160" s="26" t="s">
        <v>103</v>
      </c>
      <c r="F160" s="29" t="s">
        <v>77</v>
      </c>
      <c r="G160" s="1"/>
      <c r="H160" s="1"/>
      <c r="I160" s="4"/>
      <c r="J160" s="30">
        <v>2</v>
      </c>
      <c r="K160" s="39" t="s">
        <v>74</v>
      </c>
      <c r="L160" s="40"/>
      <c r="M160" s="30">
        <v>2</v>
      </c>
      <c r="N160" s="39" t="s">
        <v>50</v>
      </c>
      <c r="O160" s="40"/>
      <c r="P160" s="1"/>
      <c r="R160" s="21"/>
      <c r="S160" s="1"/>
      <c r="T160" s="1"/>
    </row>
    <row r="161" spans="1:20" x14ac:dyDescent="0.2">
      <c r="A161" s="1"/>
      <c r="B161" s="26" t="s">
        <v>11</v>
      </c>
      <c r="C161" s="14">
        <f t="shared" ref="C161:C168" si="62">S119/(S119+S148)</f>
        <v>0.45442878569122613</v>
      </c>
      <c r="D161" s="8">
        <f t="shared" ref="D161:D168" si="63">S148/(S119+S148)</f>
        <v>0.54557121430877387</v>
      </c>
      <c r="E161" s="8">
        <f t="shared" ref="E161:E168" si="64">($S119+$S148)*($G$158*$C161+$G$158*$D161)</f>
        <v>63.688752220033926</v>
      </c>
      <c r="F161" s="18">
        <v>5</v>
      </c>
      <c r="G161" s="17"/>
      <c r="I161" s="4"/>
      <c r="J161" s="30">
        <v>3</v>
      </c>
      <c r="K161" s="39" t="s">
        <v>70</v>
      </c>
      <c r="L161" s="40"/>
      <c r="M161" s="30">
        <v>3</v>
      </c>
      <c r="N161" s="39" t="s">
        <v>48</v>
      </c>
      <c r="O161" s="40"/>
      <c r="P161" s="4"/>
      <c r="R161" s="21"/>
      <c r="S161" s="1"/>
      <c r="T161" s="1"/>
    </row>
    <row r="162" spans="1:20" x14ac:dyDescent="0.2">
      <c r="A162" s="1"/>
      <c r="B162" s="26" t="s">
        <v>12</v>
      </c>
      <c r="C162" s="14">
        <f t="shared" si="62"/>
        <v>0.40901308191080993</v>
      </c>
      <c r="D162" s="8">
        <f t="shared" si="63"/>
        <v>0.59098691808919013</v>
      </c>
      <c r="E162" s="8">
        <f t="shared" si="64"/>
        <v>74.108576529930644</v>
      </c>
      <c r="F162" s="18">
        <v>3</v>
      </c>
      <c r="G162" s="17"/>
      <c r="I162" s="4"/>
      <c r="J162" s="30">
        <v>4</v>
      </c>
      <c r="K162" s="39" t="s">
        <v>76</v>
      </c>
      <c r="L162" s="40"/>
      <c r="M162" s="30">
        <v>4</v>
      </c>
      <c r="N162" s="39" t="s">
        <v>51</v>
      </c>
      <c r="O162" s="40"/>
      <c r="P162" s="4"/>
      <c r="R162" s="21"/>
      <c r="S162" s="1"/>
      <c r="T162" s="1"/>
    </row>
    <row r="163" spans="1:20" x14ac:dyDescent="0.2">
      <c r="A163" s="1"/>
      <c r="B163" s="26" t="s">
        <v>13</v>
      </c>
      <c r="C163" s="14">
        <f t="shared" si="62"/>
        <v>0.41138539459480139</v>
      </c>
      <c r="D163" s="8">
        <f t="shared" si="63"/>
        <v>0.58861460540519872</v>
      </c>
      <c r="E163" s="8">
        <f t="shared" si="64"/>
        <v>80.236558690875057</v>
      </c>
      <c r="F163" s="18">
        <v>1</v>
      </c>
      <c r="G163" s="17"/>
      <c r="I163" s="4"/>
      <c r="J163" s="30">
        <v>5</v>
      </c>
      <c r="K163" s="39" t="s">
        <v>73</v>
      </c>
      <c r="L163" s="40"/>
      <c r="M163" s="30">
        <v>5</v>
      </c>
      <c r="N163" s="39" t="s">
        <v>47</v>
      </c>
      <c r="O163" s="40"/>
      <c r="P163" s="4"/>
      <c r="R163" s="21"/>
      <c r="S163" s="1"/>
      <c r="T163" s="1"/>
    </row>
    <row r="164" spans="1:20" x14ac:dyDescent="0.2">
      <c r="A164" s="1"/>
      <c r="B164" s="26" t="s">
        <v>14</v>
      </c>
      <c r="C164" s="14">
        <f t="shared" si="62"/>
        <v>0.4423504547764987</v>
      </c>
      <c r="D164" s="8">
        <f t="shared" si="63"/>
        <v>0.5576495452235013</v>
      </c>
      <c r="E164" s="8">
        <f t="shared" si="64"/>
        <v>79.034178562878751</v>
      </c>
      <c r="F164" s="18">
        <v>2</v>
      </c>
      <c r="G164" s="17"/>
      <c r="I164" s="4"/>
      <c r="J164" s="30">
        <v>6</v>
      </c>
      <c r="K164" s="39" t="s">
        <v>67</v>
      </c>
      <c r="L164" s="40"/>
      <c r="M164" s="30">
        <v>6</v>
      </c>
      <c r="N164" s="39" t="s">
        <v>53</v>
      </c>
      <c r="O164" s="40"/>
      <c r="P164" s="4"/>
      <c r="R164" s="21"/>
      <c r="S164" s="1"/>
      <c r="T164" s="1"/>
    </row>
    <row r="165" spans="1:20" x14ac:dyDescent="0.2">
      <c r="A165" s="1"/>
      <c r="B165" s="26" t="s">
        <v>15</v>
      </c>
      <c r="C165" s="14">
        <f t="shared" si="62"/>
        <v>0.41204226035932057</v>
      </c>
      <c r="D165" s="8">
        <f t="shared" si="63"/>
        <v>0.58795773964067943</v>
      </c>
      <c r="E165" s="8">
        <f t="shared" si="64"/>
        <v>72.104424522491399</v>
      </c>
      <c r="F165" s="18">
        <v>4</v>
      </c>
      <c r="G165" s="17"/>
      <c r="I165" s="4"/>
      <c r="J165" s="30">
        <v>7</v>
      </c>
      <c r="K165" s="39" t="s">
        <v>65</v>
      </c>
      <c r="L165" s="40"/>
      <c r="M165" s="30">
        <v>7</v>
      </c>
      <c r="N165" s="39" t="s">
        <v>52</v>
      </c>
      <c r="O165" s="40"/>
      <c r="P165" s="4"/>
      <c r="R165" s="21"/>
      <c r="S165" s="1"/>
      <c r="T165" s="1"/>
    </row>
    <row r="166" spans="1:20" x14ac:dyDescent="0.2">
      <c r="A166" s="1"/>
      <c r="B166" s="26" t="s">
        <v>16</v>
      </c>
      <c r="C166" s="14">
        <f t="shared" si="62"/>
        <v>0.39983651459912223</v>
      </c>
      <c r="D166" s="8">
        <f t="shared" si="63"/>
        <v>0.60016348540087783</v>
      </c>
      <c r="E166" s="8">
        <f t="shared" si="64"/>
        <v>61.197550847857755</v>
      </c>
      <c r="F166" s="18">
        <v>7</v>
      </c>
      <c r="G166" s="17"/>
      <c r="I166" s="4"/>
      <c r="J166" s="30">
        <v>8</v>
      </c>
      <c r="K166" s="39" t="s">
        <v>62</v>
      </c>
      <c r="L166" s="40"/>
      <c r="M166" s="30">
        <v>8</v>
      </c>
      <c r="N166" s="39" t="s">
        <v>54</v>
      </c>
      <c r="O166" s="40"/>
      <c r="P166" s="4"/>
      <c r="R166" s="21"/>
      <c r="S166" s="1"/>
      <c r="T166" s="1"/>
    </row>
    <row r="167" spans="1:20" x14ac:dyDescent="0.2">
      <c r="A167" s="1"/>
      <c r="B167" s="26" t="s">
        <v>17</v>
      </c>
      <c r="C167" s="14">
        <f t="shared" si="62"/>
        <v>0.38905915125732604</v>
      </c>
      <c r="D167" s="8">
        <f t="shared" si="63"/>
        <v>0.61094084874267385</v>
      </c>
      <c r="E167" s="8">
        <f t="shared" si="64"/>
        <v>62.767331720364147</v>
      </c>
      <c r="F167" s="18">
        <v>6</v>
      </c>
      <c r="G167" s="17"/>
      <c r="I167" s="4"/>
      <c r="J167" s="30">
        <v>9</v>
      </c>
      <c r="K167" s="39" t="s">
        <v>68</v>
      </c>
      <c r="L167" s="40"/>
      <c r="M167" s="17"/>
      <c r="N167" s="4"/>
      <c r="O167" s="4"/>
      <c r="P167" s="4"/>
      <c r="Q167" s="4"/>
      <c r="R167" s="1"/>
      <c r="S167" s="1"/>
      <c r="T167" s="1"/>
    </row>
    <row r="168" spans="1:20" x14ac:dyDescent="0.2">
      <c r="A168" s="1"/>
      <c r="B168" s="26" t="s">
        <v>18</v>
      </c>
      <c r="C168" s="14">
        <f t="shared" si="62"/>
        <v>0.36377413681828485</v>
      </c>
      <c r="D168" s="8">
        <f t="shared" si="63"/>
        <v>0.63622586318171515</v>
      </c>
      <c r="E168" s="8">
        <f t="shared" si="64"/>
        <v>53.192245244197792</v>
      </c>
      <c r="F168" s="18">
        <v>8</v>
      </c>
      <c r="G168" s="17"/>
      <c r="I168" s="4"/>
      <c r="J168" s="30">
        <v>10</v>
      </c>
      <c r="K168" s="39" t="s">
        <v>69</v>
      </c>
      <c r="L168" s="40"/>
      <c r="M168" s="17"/>
      <c r="N168" s="4"/>
      <c r="O168" s="4"/>
      <c r="P168" s="4"/>
      <c r="Q168" s="4"/>
      <c r="R168" s="1"/>
      <c r="S168" s="1"/>
      <c r="T168" s="1"/>
    </row>
    <row r="169" spans="1:20" x14ac:dyDescent="0.2">
      <c r="A169" s="1"/>
      <c r="B169" s="1"/>
      <c r="C169" s="1"/>
      <c r="D169" s="1"/>
      <c r="E169" s="1"/>
      <c r="F169" s="4"/>
      <c r="G169" s="4"/>
      <c r="H169" s="4"/>
      <c r="I169" s="4"/>
      <c r="J169" s="30">
        <v>11</v>
      </c>
      <c r="K169" s="41" t="s">
        <v>61</v>
      </c>
      <c r="L169" s="41"/>
      <c r="M169" s="17"/>
      <c r="N169" s="4"/>
      <c r="O169" s="4"/>
      <c r="P169" s="4"/>
      <c r="Q169" s="4"/>
      <c r="R169" s="1"/>
      <c r="S169" s="1"/>
      <c r="T169" s="1"/>
    </row>
    <row r="170" spans="1:20" x14ac:dyDescent="0.2">
      <c r="A170" s="1"/>
      <c r="B170" s="1"/>
      <c r="C170" s="1"/>
      <c r="D170" s="1"/>
      <c r="E170" s="1"/>
      <c r="F170" s="4"/>
      <c r="G170" s="4"/>
      <c r="H170" s="4"/>
      <c r="I170" s="4"/>
      <c r="J170" s="30">
        <v>12</v>
      </c>
      <c r="K170" s="38" t="s">
        <v>71</v>
      </c>
      <c r="L170" s="38"/>
      <c r="M170" s="17"/>
      <c r="N170" s="4"/>
      <c r="O170" s="4"/>
      <c r="P170" s="4"/>
      <c r="Q170" s="4"/>
      <c r="R170" s="1"/>
      <c r="S170" s="1"/>
      <c r="T170" s="1"/>
    </row>
    <row r="171" spans="1:20" x14ac:dyDescent="0.2">
      <c r="A171" s="1"/>
      <c r="D171" s="1"/>
      <c r="E171" s="1"/>
      <c r="F171" s="4"/>
      <c r="G171" s="4"/>
      <c r="H171" s="4"/>
      <c r="I171" s="4"/>
      <c r="J171" s="30">
        <v>13</v>
      </c>
      <c r="K171" s="38" t="s">
        <v>72</v>
      </c>
      <c r="L171" s="38"/>
      <c r="M171" s="17"/>
      <c r="N171" s="4"/>
      <c r="O171" s="4"/>
      <c r="P171" s="4"/>
      <c r="Q171" s="4"/>
      <c r="R171" s="1"/>
      <c r="S171" s="1"/>
      <c r="T171" s="1"/>
    </row>
    <row r="172" spans="1:20" x14ac:dyDescent="0.2">
      <c r="A172" s="1"/>
      <c r="B172" s="1"/>
      <c r="C172" s="1"/>
      <c r="D172" s="1"/>
      <c r="E172" s="1"/>
      <c r="F172" s="4"/>
      <c r="G172" s="4"/>
      <c r="H172" s="4"/>
      <c r="I172" s="4"/>
      <c r="J172" s="30">
        <v>14</v>
      </c>
      <c r="K172" s="41" t="s">
        <v>60</v>
      </c>
      <c r="L172" s="41"/>
      <c r="M172" s="17"/>
      <c r="N172" s="4"/>
      <c r="O172" s="4"/>
      <c r="P172" s="4"/>
      <c r="Q172" s="4"/>
      <c r="R172" s="1"/>
      <c r="S172" s="1"/>
      <c r="T172" s="1"/>
    </row>
    <row r="173" spans="1:20" x14ac:dyDescent="0.2">
      <c r="A173" s="1"/>
      <c r="B173" s="1"/>
      <c r="C173" s="1"/>
      <c r="D173" s="1"/>
      <c r="E173" s="1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1"/>
      <c r="S173" s="1"/>
      <c r="T173" s="1"/>
    </row>
    <row r="174" spans="1:20" x14ac:dyDescent="0.2">
      <c r="A174" s="1"/>
      <c r="B174" s="1"/>
      <c r="C174" s="1"/>
      <c r="D174" s="1"/>
      <c r="E174" s="1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1"/>
      <c r="S174" s="1"/>
      <c r="T174" s="1"/>
    </row>
    <row r="175" spans="1:20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2:22" x14ac:dyDescent="0.2">
      <c r="B177" s="1"/>
      <c r="C177" s="1"/>
      <c r="D177" s="1"/>
      <c r="E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2:22" x14ac:dyDescent="0.2">
      <c r="B178" s="1"/>
      <c r="C178" s="1"/>
      <c r="D178" s="1"/>
      <c r="E178" s="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spans="2:22" x14ac:dyDescent="0.2">
      <c r="B179" s="1"/>
      <c r="C179" s="1"/>
      <c r="D179" s="1"/>
      <c r="E179" s="1"/>
    </row>
    <row r="180" spans="2:22" x14ac:dyDescent="0.2">
      <c r="B180" s="1"/>
      <c r="C180" s="1"/>
      <c r="D180" s="22"/>
    </row>
    <row r="181" spans="2:22" x14ac:dyDescent="0.2">
      <c r="B181" s="1"/>
      <c r="C181" s="1"/>
      <c r="D181" s="22"/>
    </row>
    <row r="182" spans="2:22" x14ac:dyDescent="0.2">
      <c r="B182" s="1"/>
      <c r="C182" s="1"/>
      <c r="D182" s="22"/>
    </row>
    <row r="183" spans="2:22" x14ac:dyDescent="0.2">
      <c r="B183" s="1"/>
      <c r="C183" s="1"/>
      <c r="D183" s="22"/>
    </row>
    <row r="184" spans="2:22" x14ac:dyDescent="0.2">
      <c r="B184" s="1"/>
      <c r="C184" s="1"/>
      <c r="D184" s="22"/>
    </row>
    <row r="185" spans="2:22" x14ac:dyDescent="0.2">
      <c r="B185" s="1"/>
      <c r="C185" s="1"/>
      <c r="D185" s="22"/>
    </row>
  </sheetData>
  <sortState xmlns:xlrd2="http://schemas.microsoft.com/office/spreadsheetml/2017/richdata2" ref="H161:H168">
    <sortCondition ref="H161:H168"/>
  </sortState>
  <mergeCells count="42">
    <mergeCell ref="D27:E27"/>
    <mergeCell ref="B89:C89"/>
    <mergeCell ref="B100:C100"/>
    <mergeCell ref="B116:E116"/>
    <mergeCell ref="B145:E145"/>
    <mergeCell ref="A101:C101"/>
    <mergeCell ref="B46:C46"/>
    <mergeCell ref="B62:C62"/>
    <mergeCell ref="B68:C68"/>
    <mergeCell ref="A75:B75"/>
    <mergeCell ref="B76:C76"/>
    <mergeCell ref="A1:B1"/>
    <mergeCell ref="B15:C15"/>
    <mergeCell ref="B28:C28"/>
    <mergeCell ref="B2:C2"/>
    <mergeCell ref="B39:C39"/>
    <mergeCell ref="K172:L172"/>
    <mergeCell ref="Q116:T116"/>
    <mergeCell ref="J158:O158"/>
    <mergeCell ref="N160:O160"/>
    <mergeCell ref="K166:L166"/>
    <mergeCell ref="K165:L165"/>
    <mergeCell ref="K164:L164"/>
    <mergeCell ref="K163:L163"/>
    <mergeCell ref="K162:L162"/>
    <mergeCell ref="K161:L161"/>
    <mergeCell ref="N166:O166"/>
    <mergeCell ref="N165:O165"/>
    <mergeCell ref="N164:O164"/>
    <mergeCell ref="N163:O163"/>
    <mergeCell ref="N162:O162"/>
    <mergeCell ref="B158:E158"/>
    <mergeCell ref="Q145:T145"/>
    <mergeCell ref="K171:L171"/>
    <mergeCell ref="K170:L170"/>
    <mergeCell ref="K160:L160"/>
    <mergeCell ref="K159:L159"/>
    <mergeCell ref="K167:L167"/>
    <mergeCell ref="K168:L168"/>
    <mergeCell ref="N161:O161"/>
    <mergeCell ref="N159:O159"/>
    <mergeCell ref="K169:L169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Wenslo-Artasi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Öykü ODABAŞ</dc:creator>
  <cp:lastModifiedBy>Öykü ODABAŞ</cp:lastModifiedBy>
  <dcterms:created xsi:type="dcterms:W3CDTF">2025-05-21T13:34:50Z</dcterms:created>
  <dcterms:modified xsi:type="dcterms:W3CDTF">2025-06-11T15:32:00Z</dcterms:modified>
</cp:coreProperties>
</file>