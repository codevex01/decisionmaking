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ykuodabas/Desktop/"/>
    </mc:Choice>
  </mc:AlternateContent>
  <xr:revisionPtr revIDLastSave="0" documentId="8_{BE375CFB-B1B9-9343-AF5A-6A2F6DD4B3E3}" xr6:coauthVersionLast="47" xr6:coauthVersionMax="47" xr10:uidLastSave="{00000000-0000-0000-0000-000000000000}"/>
  <bookViews>
    <workbookView xWindow="2960" yWindow="500" windowWidth="26200" windowHeight="17440" xr2:uid="{DBE9B50F-5B4E-D741-BD10-16027976ADA2}"/>
  </bookViews>
  <sheets>
    <sheet name="Sayf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1" i="1" l="1"/>
  <c r="C91" i="1"/>
  <c r="L92" i="1" l="1"/>
  <c r="M92" i="1"/>
  <c r="N92" i="1"/>
  <c r="O92" i="1"/>
  <c r="P92" i="1"/>
  <c r="L91" i="1"/>
  <c r="M91" i="1"/>
  <c r="N91" i="1"/>
  <c r="O91" i="1"/>
  <c r="P19" i="1"/>
  <c r="P20" i="1"/>
  <c r="P21" i="1"/>
  <c r="P22" i="1"/>
  <c r="P23" i="1"/>
  <c r="P24" i="1"/>
  <c r="P25" i="1"/>
  <c r="O19" i="1"/>
  <c r="O20" i="1"/>
  <c r="O21" i="1"/>
  <c r="O22" i="1"/>
  <c r="O23" i="1"/>
  <c r="O24" i="1"/>
  <c r="O25" i="1"/>
  <c r="N19" i="1"/>
  <c r="N20" i="1"/>
  <c r="N21" i="1"/>
  <c r="N22" i="1"/>
  <c r="N23" i="1"/>
  <c r="N24" i="1"/>
  <c r="N25" i="1"/>
  <c r="M19" i="1"/>
  <c r="M20" i="1"/>
  <c r="M21" i="1"/>
  <c r="M22" i="1"/>
  <c r="M23" i="1"/>
  <c r="M24" i="1"/>
  <c r="M25" i="1"/>
  <c r="M18" i="1"/>
  <c r="N18" i="1"/>
  <c r="O18" i="1"/>
  <c r="P18" i="1"/>
  <c r="L19" i="1"/>
  <c r="L20" i="1"/>
  <c r="L21" i="1"/>
  <c r="L22" i="1"/>
  <c r="L23" i="1"/>
  <c r="L24" i="1"/>
  <c r="L25" i="1"/>
  <c r="L18" i="1"/>
  <c r="F19" i="1"/>
  <c r="F20" i="1"/>
  <c r="F21" i="1"/>
  <c r="F22" i="1"/>
  <c r="F23" i="1"/>
  <c r="F24" i="1"/>
  <c r="F25" i="1"/>
  <c r="S91" i="1"/>
  <c r="D92" i="1"/>
  <c r="E92" i="1"/>
  <c r="F92" i="1"/>
  <c r="G92" i="1"/>
  <c r="H92" i="1"/>
  <c r="I92" i="1"/>
  <c r="J92" i="1"/>
  <c r="K92" i="1"/>
  <c r="C92" i="1"/>
  <c r="D91" i="1"/>
  <c r="E91" i="1"/>
  <c r="F91" i="1"/>
  <c r="G91" i="1"/>
  <c r="H91" i="1"/>
  <c r="I91" i="1"/>
  <c r="J91" i="1"/>
  <c r="K91" i="1"/>
  <c r="K19" i="1"/>
  <c r="K20" i="1"/>
  <c r="K21" i="1"/>
  <c r="K22" i="1"/>
  <c r="K23" i="1"/>
  <c r="K24" i="1"/>
  <c r="K25" i="1"/>
  <c r="J19" i="1"/>
  <c r="J20" i="1"/>
  <c r="J21" i="1"/>
  <c r="J22" i="1"/>
  <c r="J23" i="1"/>
  <c r="J24" i="1"/>
  <c r="J25" i="1"/>
  <c r="I19" i="1"/>
  <c r="I20" i="1"/>
  <c r="I21" i="1"/>
  <c r="I22" i="1"/>
  <c r="I23" i="1"/>
  <c r="I24" i="1"/>
  <c r="I25" i="1"/>
  <c r="H19" i="1"/>
  <c r="H20" i="1"/>
  <c r="H21" i="1"/>
  <c r="H22" i="1"/>
  <c r="H23" i="1"/>
  <c r="H24" i="1"/>
  <c r="H25" i="1"/>
  <c r="G19" i="1"/>
  <c r="G20" i="1"/>
  <c r="G21" i="1"/>
  <c r="G22" i="1"/>
  <c r="G23" i="1"/>
  <c r="G24" i="1"/>
  <c r="G25" i="1"/>
  <c r="E19" i="1"/>
  <c r="E20" i="1"/>
  <c r="E21" i="1"/>
  <c r="E22" i="1"/>
  <c r="E23" i="1"/>
  <c r="E24" i="1"/>
  <c r="E25" i="1"/>
  <c r="D19" i="1"/>
  <c r="D20" i="1"/>
  <c r="D21" i="1"/>
  <c r="D22" i="1"/>
  <c r="D23" i="1"/>
  <c r="D24" i="1"/>
  <c r="D25" i="1"/>
  <c r="C19" i="1"/>
  <c r="C20" i="1"/>
  <c r="C21" i="1"/>
  <c r="C22" i="1"/>
  <c r="C23" i="1"/>
  <c r="C24" i="1"/>
  <c r="C25" i="1"/>
  <c r="K18" i="1"/>
  <c r="J18" i="1"/>
  <c r="I18" i="1"/>
  <c r="H18" i="1"/>
  <c r="G18" i="1"/>
  <c r="F18" i="1"/>
  <c r="E18" i="1"/>
  <c r="D18" i="1"/>
  <c r="C18" i="1"/>
  <c r="C94" i="1" l="1"/>
  <c r="P94" i="1"/>
  <c r="N95" i="1"/>
  <c r="L95" i="1"/>
  <c r="M94" i="1"/>
  <c r="L94" i="1"/>
  <c r="P95" i="1"/>
  <c r="O95" i="1"/>
  <c r="O102" i="1" s="1"/>
  <c r="M95" i="1"/>
  <c r="O94" i="1"/>
  <c r="N94" i="1"/>
  <c r="P30" i="1"/>
  <c r="J94" i="1"/>
  <c r="K95" i="1"/>
  <c r="L31" i="1"/>
  <c r="N30" i="1"/>
  <c r="M30" i="1"/>
  <c r="O30" i="1"/>
  <c r="C30" i="1"/>
  <c r="L30" i="1"/>
  <c r="P31" i="1"/>
  <c r="P36" i="1" s="1"/>
  <c r="P37" i="1" s="1"/>
  <c r="N31" i="1"/>
  <c r="M31" i="1"/>
  <c r="O31" i="1"/>
  <c r="K94" i="1"/>
  <c r="C95" i="1"/>
  <c r="D95" i="1"/>
  <c r="H94" i="1"/>
  <c r="I95" i="1"/>
  <c r="H95" i="1"/>
  <c r="G95" i="1"/>
  <c r="I94" i="1"/>
  <c r="J95" i="1"/>
  <c r="G94" i="1"/>
  <c r="F94" i="1"/>
  <c r="E94" i="1"/>
  <c r="F95" i="1"/>
  <c r="D94" i="1"/>
  <c r="E95" i="1"/>
  <c r="E31" i="1"/>
  <c r="H30" i="1"/>
  <c r="J30" i="1"/>
  <c r="K30" i="1"/>
  <c r="G31" i="1"/>
  <c r="I30" i="1"/>
  <c r="F31" i="1"/>
  <c r="D31" i="1"/>
  <c r="G30" i="1"/>
  <c r="F30" i="1"/>
  <c r="C31" i="1"/>
  <c r="E30" i="1"/>
  <c r="D30" i="1"/>
  <c r="K31" i="1"/>
  <c r="J31" i="1"/>
  <c r="I31" i="1"/>
  <c r="H31" i="1"/>
  <c r="N102" i="1" l="1"/>
  <c r="L103" i="1"/>
  <c r="L101" i="1"/>
  <c r="L105" i="1"/>
  <c r="L108" i="1"/>
  <c r="P101" i="1"/>
  <c r="L107" i="1"/>
  <c r="N108" i="1"/>
  <c r="M106" i="1"/>
  <c r="O36" i="1"/>
  <c r="O37" i="1" s="1"/>
  <c r="O49" i="1" s="1"/>
  <c r="N105" i="1"/>
  <c r="C101" i="1"/>
  <c r="M102" i="1"/>
  <c r="M101" i="1"/>
  <c r="M104" i="1"/>
  <c r="L104" i="1"/>
  <c r="L102" i="1"/>
  <c r="O104" i="1"/>
  <c r="F101" i="1"/>
  <c r="O108" i="1"/>
  <c r="M108" i="1"/>
  <c r="O103" i="1"/>
  <c r="P108" i="1"/>
  <c r="M107" i="1"/>
  <c r="P106" i="1"/>
  <c r="M103" i="1"/>
  <c r="O107" i="1"/>
  <c r="P103" i="1"/>
  <c r="O106" i="1"/>
  <c r="P102" i="1"/>
  <c r="L106" i="1"/>
  <c r="M105" i="1"/>
  <c r="O101" i="1"/>
  <c r="N104" i="1"/>
  <c r="N107" i="1"/>
  <c r="P107" i="1"/>
  <c r="J108" i="1"/>
  <c r="K106" i="1"/>
  <c r="M36" i="1"/>
  <c r="M37" i="1" s="1"/>
  <c r="M49" i="1" s="1"/>
  <c r="N106" i="1"/>
  <c r="O105" i="1"/>
  <c r="P105" i="1"/>
  <c r="N101" i="1"/>
  <c r="N103" i="1"/>
  <c r="P104" i="1"/>
  <c r="K103" i="1"/>
  <c r="P56" i="1"/>
  <c r="P54" i="1"/>
  <c r="P49" i="1"/>
  <c r="P50" i="1"/>
  <c r="K101" i="1"/>
  <c r="N36" i="1"/>
  <c r="N37" i="1" s="1"/>
  <c r="K102" i="1"/>
  <c r="H106" i="1"/>
  <c r="L36" i="1"/>
  <c r="L37" i="1" s="1"/>
  <c r="L53" i="1" s="1"/>
  <c r="O54" i="1"/>
  <c r="P51" i="1"/>
  <c r="K107" i="1"/>
  <c r="K105" i="1"/>
  <c r="O56" i="1"/>
  <c r="K108" i="1"/>
  <c r="P55" i="1"/>
  <c r="P52" i="1"/>
  <c r="P53" i="1"/>
  <c r="C36" i="1"/>
  <c r="C42" i="1" s="1"/>
  <c r="K104" i="1"/>
  <c r="P42" i="1"/>
  <c r="O42" i="1"/>
  <c r="H36" i="1"/>
  <c r="H105" i="1"/>
  <c r="H104" i="1"/>
  <c r="H102" i="1"/>
  <c r="H103" i="1"/>
  <c r="J103" i="1"/>
  <c r="J107" i="1"/>
  <c r="J102" i="1"/>
  <c r="J104" i="1"/>
  <c r="H108" i="1"/>
  <c r="J101" i="1"/>
  <c r="H107" i="1"/>
  <c r="H101" i="1"/>
  <c r="F106" i="1"/>
  <c r="F105" i="1"/>
  <c r="F107" i="1"/>
  <c r="F108" i="1"/>
  <c r="F104" i="1"/>
  <c r="F103" i="1"/>
  <c r="F102" i="1"/>
  <c r="C102" i="1"/>
  <c r="C105" i="1"/>
  <c r="C103" i="1"/>
  <c r="C104" i="1"/>
  <c r="C106" i="1"/>
  <c r="C107" i="1"/>
  <c r="C108" i="1"/>
  <c r="G106" i="1"/>
  <c r="G107" i="1"/>
  <c r="G104" i="1"/>
  <c r="G108" i="1"/>
  <c r="G102" i="1"/>
  <c r="G103" i="1"/>
  <c r="G101" i="1"/>
  <c r="G105" i="1"/>
  <c r="D106" i="1"/>
  <c r="D105" i="1"/>
  <c r="D107" i="1"/>
  <c r="D104" i="1"/>
  <c r="D101" i="1"/>
  <c r="D108" i="1"/>
  <c r="D102" i="1"/>
  <c r="D103" i="1"/>
  <c r="E106" i="1"/>
  <c r="E102" i="1"/>
  <c r="E107" i="1"/>
  <c r="E101" i="1"/>
  <c r="E103" i="1"/>
  <c r="E105" i="1"/>
  <c r="E108" i="1"/>
  <c r="E104" i="1"/>
  <c r="J105" i="1"/>
  <c r="I106" i="1"/>
  <c r="I101" i="1"/>
  <c r="I105" i="1"/>
  <c r="I107" i="1"/>
  <c r="I108" i="1"/>
  <c r="I102" i="1"/>
  <c r="I104" i="1"/>
  <c r="I103" i="1"/>
  <c r="J106" i="1"/>
  <c r="J36" i="1"/>
  <c r="J37" i="1" s="1"/>
  <c r="K36" i="1"/>
  <c r="I36" i="1"/>
  <c r="D36" i="1"/>
  <c r="E36" i="1"/>
  <c r="F36" i="1"/>
  <c r="G36" i="1"/>
  <c r="O51" i="1" l="1"/>
  <c r="O52" i="1"/>
  <c r="L111" i="1"/>
  <c r="M42" i="1"/>
  <c r="M55" i="1"/>
  <c r="K111" i="1"/>
  <c r="F111" i="1"/>
  <c r="H111" i="1"/>
  <c r="O111" i="1"/>
  <c r="J111" i="1"/>
  <c r="O55" i="1"/>
  <c r="E111" i="1"/>
  <c r="N111" i="1"/>
  <c r="O50" i="1"/>
  <c r="P111" i="1"/>
  <c r="D111" i="1"/>
  <c r="C110" i="1"/>
  <c r="I111" i="1"/>
  <c r="M110" i="1"/>
  <c r="G111" i="1"/>
  <c r="O53" i="1"/>
  <c r="M111" i="1"/>
  <c r="P110" i="1"/>
  <c r="C111" i="1"/>
  <c r="O110" i="1"/>
  <c r="L110" i="1"/>
  <c r="N110" i="1"/>
  <c r="M51" i="1"/>
  <c r="M52" i="1"/>
  <c r="M54" i="1"/>
  <c r="M50" i="1"/>
  <c r="M53" i="1"/>
  <c r="M56" i="1"/>
  <c r="L50" i="1"/>
  <c r="L52" i="1"/>
  <c r="L54" i="1"/>
  <c r="L42" i="1"/>
  <c r="N53" i="1"/>
  <c r="N55" i="1"/>
  <c r="N54" i="1"/>
  <c r="N51" i="1"/>
  <c r="N49" i="1"/>
  <c r="P60" i="1"/>
  <c r="P65" i="1" s="1"/>
  <c r="N52" i="1"/>
  <c r="N56" i="1"/>
  <c r="L55" i="1"/>
  <c r="L49" i="1"/>
  <c r="L56" i="1"/>
  <c r="N42" i="1"/>
  <c r="N50" i="1"/>
  <c r="L51" i="1"/>
  <c r="G42" i="1"/>
  <c r="G37" i="1"/>
  <c r="I42" i="1"/>
  <c r="I37" i="1"/>
  <c r="D42" i="1"/>
  <c r="D37" i="1"/>
  <c r="F42" i="1"/>
  <c r="F37" i="1"/>
  <c r="E42" i="1"/>
  <c r="E37" i="1"/>
  <c r="C37" i="1"/>
  <c r="C49" i="1" s="1"/>
  <c r="K42" i="1"/>
  <c r="K37" i="1"/>
  <c r="H42" i="1"/>
  <c r="H37" i="1"/>
  <c r="H53" i="1" s="1"/>
  <c r="J42" i="1"/>
  <c r="K110" i="1"/>
  <c r="J53" i="1"/>
  <c r="J49" i="1"/>
  <c r="J54" i="1"/>
  <c r="J50" i="1"/>
  <c r="J52" i="1"/>
  <c r="J51" i="1"/>
  <c r="J56" i="1"/>
  <c r="J55" i="1"/>
  <c r="F110" i="1"/>
  <c r="J110" i="1"/>
  <c r="E110" i="1"/>
  <c r="I110" i="1"/>
  <c r="D110" i="1"/>
  <c r="G110" i="1"/>
  <c r="H110" i="1"/>
  <c r="O60" i="1" l="1"/>
  <c r="O65" i="1" s="1"/>
  <c r="M60" i="1"/>
  <c r="M65" i="1" s="1"/>
  <c r="N60" i="1"/>
  <c r="N65" i="1" s="1"/>
  <c r="L60" i="1"/>
  <c r="L65" i="1" s="1"/>
  <c r="J60" i="1"/>
  <c r="J65" i="1" s="1"/>
  <c r="H55" i="1"/>
  <c r="H50" i="1"/>
  <c r="H56" i="1"/>
  <c r="H51" i="1"/>
  <c r="H54" i="1"/>
  <c r="H49" i="1"/>
  <c r="H52" i="1"/>
  <c r="D51" i="1"/>
  <c r="D50" i="1"/>
  <c r="D56" i="1"/>
  <c r="D53" i="1"/>
  <c r="D49" i="1"/>
  <c r="D52" i="1"/>
  <c r="D54" i="1"/>
  <c r="D55" i="1"/>
  <c r="I50" i="1"/>
  <c r="I51" i="1"/>
  <c r="I52" i="1"/>
  <c r="I53" i="1"/>
  <c r="I55" i="1"/>
  <c r="I56" i="1"/>
  <c r="I49" i="1"/>
  <c r="I54" i="1"/>
  <c r="F49" i="1"/>
  <c r="F52" i="1"/>
  <c r="F55" i="1"/>
  <c r="F50" i="1"/>
  <c r="F54" i="1"/>
  <c r="F56" i="1"/>
  <c r="F53" i="1"/>
  <c r="F51" i="1"/>
  <c r="E50" i="1"/>
  <c r="E54" i="1"/>
  <c r="E53" i="1"/>
  <c r="E56" i="1"/>
  <c r="E49" i="1"/>
  <c r="E55" i="1"/>
  <c r="E52" i="1"/>
  <c r="E51" i="1"/>
  <c r="G50" i="1"/>
  <c r="G51" i="1"/>
  <c r="G54" i="1"/>
  <c r="G52" i="1"/>
  <c r="G53" i="1"/>
  <c r="G55" i="1"/>
  <c r="G56" i="1"/>
  <c r="G49" i="1"/>
  <c r="K51" i="1"/>
  <c r="K49" i="1"/>
  <c r="K50" i="1"/>
  <c r="K53" i="1"/>
  <c r="K52" i="1"/>
  <c r="K55" i="1"/>
  <c r="K56" i="1"/>
  <c r="K54" i="1"/>
  <c r="C51" i="1"/>
  <c r="C50" i="1"/>
  <c r="C52" i="1"/>
  <c r="C54" i="1"/>
  <c r="C53" i="1"/>
  <c r="C56" i="1"/>
  <c r="C55" i="1"/>
  <c r="C60" i="1" l="1"/>
  <c r="C65" i="1" s="1"/>
  <c r="G60" i="1"/>
  <c r="G65" i="1" s="1"/>
  <c r="E60" i="1"/>
  <c r="E65" i="1" s="1"/>
  <c r="D60" i="1"/>
  <c r="D65" i="1" s="1"/>
  <c r="I60" i="1"/>
  <c r="I65" i="1" s="1"/>
  <c r="K60" i="1"/>
  <c r="K65" i="1" s="1"/>
  <c r="H60" i="1"/>
  <c r="H65" i="1" s="1"/>
  <c r="F60" i="1"/>
  <c r="F65" i="1" s="1"/>
  <c r="Q65" i="1" l="1"/>
  <c r="C71" i="1" l="1"/>
  <c r="P71" i="1"/>
  <c r="N71" i="1"/>
  <c r="G71" i="1"/>
  <c r="O71" i="1"/>
  <c r="H71" i="1"/>
  <c r="I71" i="1"/>
  <c r="K71" i="1"/>
  <c r="F71" i="1"/>
  <c r="J71" i="1"/>
  <c r="M71" i="1"/>
  <c r="E71" i="1"/>
  <c r="L71" i="1"/>
  <c r="D71" i="1"/>
  <c r="D130" i="1" l="1"/>
  <c r="D117" i="1"/>
  <c r="D122" i="1"/>
  <c r="D132" i="1"/>
  <c r="D118" i="1"/>
  <c r="D135" i="1"/>
  <c r="D133" i="1"/>
  <c r="D124" i="1"/>
  <c r="D123" i="1"/>
  <c r="D134" i="1"/>
  <c r="D121" i="1"/>
  <c r="D120" i="1"/>
  <c r="D136" i="1"/>
  <c r="D137" i="1"/>
  <c r="D119" i="1"/>
  <c r="D131" i="1"/>
  <c r="G119" i="1"/>
  <c r="G118" i="1"/>
  <c r="G124" i="1"/>
  <c r="G134" i="1"/>
  <c r="G136" i="1"/>
  <c r="G131" i="1"/>
  <c r="G122" i="1"/>
  <c r="G130" i="1"/>
  <c r="G117" i="1"/>
  <c r="G132" i="1"/>
  <c r="G120" i="1"/>
  <c r="G137" i="1"/>
  <c r="G121" i="1"/>
  <c r="G133" i="1"/>
  <c r="G135" i="1"/>
  <c r="G123" i="1"/>
  <c r="H130" i="1"/>
  <c r="H131" i="1"/>
  <c r="H134" i="1"/>
  <c r="H117" i="1"/>
  <c r="H121" i="1"/>
  <c r="H120" i="1"/>
  <c r="H136" i="1"/>
  <c r="H119" i="1"/>
  <c r="H124" i="1"/>
  <c r="H132" i="1"/>
  <c r="H137" i="1"/>
  <c r="H135" i="1"/>
  <c r="H122" i="1"/>
  <c r="H123" i="1"/>
  <c r="H133" i="1"/>
  <c r="H118" i="1"/>
  <c r="L136" i="1"/>
  <c r="L130" i="1"/>
  <c r="L123" i="1"/>
  <c r="L137" i="1"/>
  <c r="L132" i="1"/>
  <c r="L133" i="1"/>
  <c r="L134" i="1"/>
  <c r="L135" i="1"/>
  <c r="L131" i="1"/>
  <c r="L117" i="1"/>
  <c r="L118" i="1"/>
  <c r="L120" i="1"/>
  <c r="L124" i="1"/>
  <c r="L122" i="1"/>
  <c r="L119" i="1"/>
  <c r="L121" i="1"/>
  <c r="N122" i="1"/>
  <c r="N130" i="1"/>
  <c r="N121" i="1"/>
  <c r="N136" i="1"/>
  <c r="N124" i="1"/>
  <c r="N120" i="1"/>
  <c r="N133" i="1"/>
  <c r="N119" i="1"/>
  <c r="N132" i="1"/>
  <c r="N118" i="1"/>
  <c r="N123" i="1"/>
  <c r="N134" i="1"/>
  <c r="N137" i="1"/>
  <c r="N117" i="1"/>
  <c r="N135" i="1"/>
  <c r="N131" i="1"/>
  <c r="K118" i="1"/>
  <c r="K120" i="1"/>
  <c r="K122" i="1"/>
  <c r="K121" i="1"/>
  <c r="K133" i="1"/>
  <c r="K124" i="1"/>
  <c r="K123" i="1"/>
  <c r="K130" i="1"/>
  <c r="K135" i="1"/>
  <c r="K131" i="1"/>
  <c r="K117" i="1"/>
  <c r="K136" i="1"/>
  <c r="K134" i="1"/>
  <c r="K132" i="1"/>
  <c r="K119" i="1"/>
  <c r="K137" i="1"/>
  <c r="O119" i="1"/>
  <c r="O117" i="1"/>
  <c r="O133" i="1"/>
  <c r="O123" i="1"/>
  <c r="O135" i="1"/>
  <c r="O137" i="1"/>
  <c r="O136" i="1"/>
  <c r="O124" i="1"/>
  <c r="O132" i="1"/>
  <c r="O134" i="1"/>
  <c r="O120" i="1"/>
  <c r="O118" i="1"/>
  <c r="O131" i="1"/>
  <c r="O130" i="1"/>
  <c r="O121" i="1"/>
  <c r="O122" i="1"/>
  <c r="J117" i="1"/>
  <c r="J130" i="1"/>
  <c r="J137" i="1"/>
  <c r="J133" i="1"/>
  <c r="J122" i="1"/>
  <c r="J134" i="1"/>
  <c r="J121" i="1"/>
  <c r="J119" i="1"/>
  <c r="J123" i="1"/>
  <c r="J132" i="1"/>
  <c r="J131" i="1"/>
  <c r="J136" i="1"/>
  <c r="J124" i="1"/>
  <c r="J118" i="1"/>
  <c r="J120" i="1"/>
  <c r="J135" i="1"/>
  <c r="P121" i="1"/>
  <c r="P118" i="1"/>
  <c r="P119" i="1"/>
  <c r="P120" i="1"/>
  <c r="P123" i="1"/>
  <c r="P133" i="1"/>
  <c r="P131" i="1"/>
  <c r="P136" i="1"/>
  <c r="P130" i="1"/>
  <c r="P122" i="1"/>
  <c r="P134" i="1"/>
  <c r="P137" i="1"/>
  <c r="P124" i="1"/>
  <c r="P132" i="1"/>
  <c r="P117" i="1"/>
  <c r="P135" i="1"/>
  <c r="I118" i="1"/>
  <c r="I124" i="1"/>
  <c r="I132" i="1"/>
  <c r="I121" i="1"/>
  <c r="I122" i="1"/>
  <c r="I135" i="1"/>
  <c r="I137" i="1"/>
  <c r="I131" i="1"/>
  <c r="I133" i="1"/>
  <c r="I120" i="1"/>
  <c r="I119" i="1"/>
  <c r="I136" i="1"/>
  <c r="I123" i="1"/>
  <c r="I117" i="1"/>
  <c r="I134" i="1"/>
  <c r="I130" i="1"/>
  <c r="E124" i="1"/>
  <c r="E133" i="1"/>
  <c r="E122" i="1"/>
  <c r="E134" i="1"/>
  <c r="E137" i="1"/>
  <c r="E121" i="1"/>
  <c r="E130" i="1"/>
  <c r="E120" i="1"/>
  <c r="E135" i="1"/>
  <c r="E132" i="1"/>
  <c r="E136" i="1"/>
  <c r="E123" i="1"/>
  <c r="E131" i="1"/>
  <c r="E118" i="1"/>
  <c r="E119" i="1"/>
  <c r="E117" i="1"/>
  <c r="M117" i="1"/>
  <c r="M119" i="1"/>
  <c r="M124" i="1"/>
  <c r="M118" i="1"/>
  <c r="M122" i="1"/>
  <c r="M123" i="1"/>
  <c r="M121" i="1"/>
  <c r="M120" i="1"/>
  <c r="M135" i="1"/>
  <c r="M137" i="1"/>
  <c r="M132" i="1"/>
  <c r="M134" i="1"/>
  <c r="M131" i="1"/>
  <c r="M136" i="1"/>
  <c r="M130" i="1"/>
  <c r="M133" i="1"/>
  <c r="F119" i="1"/>
  <c r="F136" i="1"/>
  <c r="F131" i="1"/>
  <c r="F132" i="1"/>
  <c r="F133" i="1"/>
  <c r="F117" i="1"/>
  <c r="F130" i="1"/>
  <c r="F135" i="1"/>
  <c r="F118" i="1"/>
  <c r="F121" i="1"/>
  <c r="F137" i="1"/>
  <c r="F123" i="1"/>
  <c r="F124" i="1"/>
  <c r="F122" i="1"/>
  <c r="F120" i="1"/>
  <c r="F134" i="1"/>
  <c r="C123" i="1"/>
  <c r="C117" i="1"/>
  <c r="C120" i="1"/>
  <c r="C137" i="1"/>
  <c r="C118" i="1"/>
  <c r="C124" i="1"/>
  <c r="C135" i="1"/>
  <c r="C121" i="1"/>
  <c r="C130" i="1"/>
  <c r="C119" i="1"/>
  <c r="C131" i="1"/>
  <c r="C134" i="1"/>
  <c r="C122" i="1"/>
  <c r="C132" i="1"/>
  <c r="C133" i="1"/>
  <c r="C136" i="1"/>
  <c r="Q71" i="1"/>
  <c r="S121" i="1" l="1"/>
  <c r="S120" i="1"/>
  <c r="I139" i="1"/>
  <c r="I140" i="1"/>
  <c r="G139" i="1"/>
  <c r="G140" i="1"/>
  <c r="F139" i="1"/>
  <c r="F140" i="1"/>
  <c r="M140" i="1"/>
  <c r="M139" i="1"/>
  <c r="E140" i="1"/>
  <c r="E139" i="1"/>
  <c r="E148" i="1" s="1"/>
  <c r="I150" i="1"/>
  <c r="I153" i="1"/>
  <c r="K140" i="1"/>
  <c r="K139" i="1"/>
  <c r="O139" i="1"/>
  <c r="O140" i="1"/>
  <c r="S122" i="1"/>
  <c r="S124" i="1"/>
  <c r="S118" i="1"/>
  <c r="I152" i="1"/>
  <c r="S117" i="1"/>
  <c r="J139" i="1"/>
  <c r="J140" i="1"/>
  <c r="N139" i="1"/>
  <c r="N140" i="1"/>
  <c r="N151" i="1" s="1"/>
  <c r="L140" i="1"/>
  <c r="L139" i="1"/>
  <c r="L148" i="1" s="1"/>
  <c r="S119" i="1"/>
  <c r="C139" i="1"/>
  <c r="S123" i="1"/>
  <c r="P139" i="1"/>
  <c r="P140" i="1"/>
  <c r="H139" i="1"/>
  <c r="H140" i="1"/>
  <c r="D140" i="1"/>
  <c r="D139" i="1"/>
  <c r="C140" i="1"/>
  <c r="O153" i="1" l="1"/>
  <c r="M152" i="1"/>
  <c r="O149" i="1"/>
  <c r="O150" i="1"/>
  <c r="J147" i="1"/>
  <c r="M151" i="1"/>
  <c r="K153" i="1"/>
  <c r="M153" i="1"/>
  <c r="M146" i="1"/>
  <c r="N153" i="1"/>
  <c r="L152" i="1"/>
  <c r="L153" i="1"/>
  <c r="M149" i="1"/>
  <c r="K150" i="1"/>
  <c r="N150" i="1"/>
  <c r="I151" i="1"/>
  <c r="K149" i="1"/>
  <c r="N152" i="1"/>
  <c r="F152" i="1"/>
  <c r="N148" i="1"/>
  <c r="N147" i="1"/>
  <c r="C146" i="1"/>
  <c r="D149" i="1"/>
  <c r="I149" i="1"/>
  <c r="N146" i="1"/>
  <c r="M148" i="1"/>
  <c r="K148" i="1"/>
  <c r="J148" i="1"/>
  <c r="E150" i="1"/>
  <c r="O152" i="1"/>
  <c r="P147" i="1"/>
  <c r="C148" i="1"/>
  <c r="F150" i="1"/>
  <c r="G153" i="1"/>
  <c r="F151" i="1"/>
  <c r="M150" i="1"/>
  <c r="D151" i="1"/>
  <c r="H149" i="1"/>
  <c r="C147" i="1"/>
  <c r="K147" i="1"/>
  <c r="I148" i="1"/>
  <c r="D153" i="1"/>
  <c r="I147" i="1"/>
  <c r="F146" i="1"/>
  <c r="L151" i="1"/>
  <c r="H148" i="1"/>
  <c r="G146" i="1"/>
  <c r="H153" i="1"/>
  <c r="H151" i="1"/>
  <c r="J146" i="1"/>
  <c r="E146" i="1"/>
  <c r="J153" i="1"/>
  <c r="K152" i="1"/>
  <c r="C153" i="1"/>
  <c r="O147" i="1"/>
  <c r="G147" i="1"/>
  <c r="J150" i="1"/>
  <c r="N149" i="1"/>
  <c r="C149" i="1"/>
  <c r="H147" i="1"/>
  <c r="P146" i="1"/>
  <c r="L147" i="1"/>
  <c r="L146" i="1"/>
  <c r="O151" i="1"/>
  <c r="L150" i="1"/>
  <c r="K151" i="1"/>
  <c r="P150" i="1"/>
  <c r="D148" i="1"/>
  <c r="J149" i="1"/>
  <c r="C150" i="1"/>
  <c r="D152" i="1"/>
  <c r="E153" i="1"/>
  <c r="G149" i="1"/>
  <c r="P149" i="1"/>
  <c r="J151" i="1"/>
  <c r="P151" i="1"/>
  <c r="E152" i="1"/>
  <c r="F148" i="1"/>
  <c r="O146" i="1"/>
  <c r="C151" i="1"/>
  <c r="F153" i="1"/>
  <c r="D146" i="1"/>
  <c r="C152" i="1"/>
  <c r="O148" i="1"/>
  <c r="D150" i="1"/>
  <c r="E149" i="1"/>
  <c r="F147" i="1"/>
  <c r="G150" i="1"/>
  <c r="J152" i="1"/>
  <c r="F149" i="1"/>
  <c r="G152" i="1"/>
  <c r="E147" i="1"/>
  <c r="L149" i="1"/>
  <c r="P148" i="1"/>
  <c r="D147" i="1"/>
  <c r="I146" i="1"/>
  <c r="H150" i="1"/>
  <c r="G151" i="1"/>
  <c r="H146" i="1"/>
  <c r="P152" i="1"/>
  <c r="H152" i="1"/>
  <c r="E151" i="1"/>
  <c r="K146" i="1"/>
  <c r="G148" i="1"/>
  <c r="P153" i="1"/>
  <c r="M147" i="1"/>
  <c r="S153" i="1" l="1"/>
  <c r="S147" i="1"/>
  <c r="D160" i="1" s="1"/>
  <c r="S146" i="1"/>
  <c r="S148" i="1"/>
  <c r="D159" i="1"/>
  <c r="C159" i="1"/>
  <c r="E159" i="1" s="1"/>
  <c r="D161" i="1"/>
  <c r="C161" i="1"/>
  <c r="S150" i="1"/>
  <c r="S152" i="1"/>
  <c r="S149" i="1"/>
  <c r="S151" i="1"/>
  <c r="C160" i="1" l="1"/>
  <c r="E160" i="1" s="1"/>
  <c r="E161" i="1"/>
  <c r="D166" i="1"/>
  <c r="C166" i="1"/>
  <c r="D164" i="1"/>
  <c r="C164" i="1"/>
  <c r="E164" i="1" s="1"/>
  <c r="D162" i="1"/>
  <c r="C162" i="1"/>
  <c r="D165" i="1"/>
  <c r="C165" i="1"/>
  <c r="D163" i="1"/>
  <c r="C163" i="1"/>
  <c r="E163" i="1"/>
  <c r="E165" i="1" l="1"/>
  <c r="E166" i="1"/>
  <c r="E162" i="1"/>
</calcChain>
</file>

<file path=xl/sharedStrings.xml><?xml version="1.0" encoding="utf-8"?>
<sst xmlns="http://schemas.openxmlformats.org/spreadsheetml/2006/main" count="357" uniqueCount="99">
  <si>
    <t>Initial decision matrix</t>
  </si>
  <si>
    <t>xij</t>
  </si>
  <si>
    <t>A/C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</si>
  <si>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</si>
  <si>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</si>
  <si>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</si>
  <si>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</si>
  <si>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</si>
  <si>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</si>
  <si>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</si>
  <si>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</si>
  <si>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</si>
  <si>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A1</t>
  </si>
  <si>
    <t>A2</t>
  </si>
  <si>
    <t>A3</t>
  </si>
  <si>
    <t>A4</t>
  </si>
  <si>
    <t>A5</t>
  </si>
  <si>
    <t>A6</t>
  </si>
  <si>
    <t>A7</t>
  </si>
  <si>
    <t>A8</t>
  </si>
  <si>
    <t>Normalized decision matrix</t>
  </si>
  <si>
    <t>delta zj</t>
  </si>
  <si>
    <t>max</t>
  </si>
  <si>
    <t>max of col.</t>
  </si>
  <si>
    <t>min of col.</t>
  </si>
  <si>
    <t>m</t>
  </si>
  <si>
    <t>min</t>
  </si>
  <si>
    <t>j-th criterion class interval</t>
  </si>
  <si>
    <t>criterion slope</t>
  </si>
  <si>
    <t>tan dj</t>
  </si>
  <si>
    <t>zij</t>
  </si>
  <si>
    <t xml:space="preserve"> </t>
  </si>
  <si>
    <t>criterion envelope</t>
  </si>
  <si>
    <t>z^2</t>
  </si>
  <si>
    <t>Ej</t>
  </si>
  <si>
    <t>SUM</t>
  </si>
  <si>
    <t>for envelope</t>
  </si>
  <si>
    <t>qj</t>
  </si>
  <si>
    <t>final criteria weights</t>
  </si>
  <si>
    <t>wj</t>
  </si>
  <si>
    <t>for wj</t>
  </si>
  <si>
    <t>WENSLO</t>
  </si>
  <si>
    <t>ARTASI</t>
  </si>
  <si>
    <t>absolute max and min</t>
  </si>
  <si>
    <t>abs max</t>
  </si>
  <si>
    <t>abs min</t>
  </si>
  <si>
    <t>1/m</t>
  </si>
  <si>
    <t>standardize initial dec matrix</t>
  </si>
  <si>
    <t>lower limit</t>
  </si>
  <si>
    <t>upper limit</t>
  </si>
  <si>
    <t>delta^N Oij</t>
  </si>
  <si>
    <t>vij+</t>
  </si>
  <si>
    <t>vij</t>
  </si>
  <si>
    <t>vij-</t>
  </si>
  <si>
    <t>degree of usefulness of alternatives about the ideal value vij+</t>
  </si>
  <si>
    <t>degree of usefulness of alternatives about the anti-ideal value vij-</t>
  </si>
  <si>
    <t>degrees of usefullnes optimal value</t>
  </si>
  <si>
    <t>degrees of usefullnes anti-ideal value</t>
  </si>
  <si>
    <t>Ii+</t>
  </si>
  <si>
    <t>Ii-</t>
  </si>
  <si>
    <t>determining the utility functions and ranking of options</t>
  </si>
  <si>
    <t>alpha=</t>
  </si>
  <si>
    <t>oij</t>
  </si>
  <si>
    <t>fI+</t>
  </si>
  <si>
    <t>fI-</t>
  </si>
  <si>
    <t>mapped decision-making  matrix</t>
  </si>
  <si>
    <t>Car</t>
  </si>
  <si>
    <t>Taxi/Martı</t>
  </si>
  <si>
    <t>Bus</t>
  </si>
  <si>
    <t>Minibuses</t>
  </si>
  <si>
    <t>Metrobus</t>
  </si>
  <si>
    <t>Metro/Marmaray</t>
  </si>
  <si>
    <t>Ferry</t>
  </si>
  <si>
    <t>Sea taxi</t>
  </si>
  <si>
    <t>C10</t>
  </si>
  <si>
    <t>C11</t>
  </si>
  <si>
    <t>C12</t>
  </si>
  <si>
    <t>C13</t>
  </si>
  <si>
    <t>C14</t>
  </si>
  <si>
    <t>CO2 Emission</t>
  </si>
  <si>
    <t>Air Pollution</t>
  </si>
  <si>
    <t>Noise Pollution</t>
  </si>
  <si>
    <t>Occupancy Rate</t>
  </si>
  <si>
    <t>Occupancy R.</t>
  </si>
  <si>
    <t>Travel Time</t>
  </si>
  <si>
    <t>Transport.Cost</t>
  </si>
  <si>
    <t>Capacity</t>
  </si>
  <si>
    <t>Availability</t>
  </si>
  <si>
    <t>Intermodality</t>
  </si>
  <si>
    <t>Waiting Time</t>
  </si>
  <si>
    <t>Accessibility</t>
  </si>
  <si>
    <t>Safety</t>
  </si>
  <si>
    <t>Flexibility</t>
  </si>
  <si>
    <t>Comfort</t>
  </si>
  <si>
    <t>Final Ranking</t>
  </si>
  <si>
    <t>Transportation Cost</t>
  </si>
  <si>
    <t>Rank</t>
  </si>
  <si>
    <t>(Correct)</t>
  </si>
  <si>
    <t>envelope/slope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</si>
</sst>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5" fontId="0" fillId="0" borderId="0" xfId="0" applyNumberFormat="1"/>
    <xf numFmtId="0" fontId="2" fillId="0" borderId="0" xfId="0" applyFont="1"/>
    <xf numFmtId="164" fontId="0" fillId="0" borderId="1" xfId="0" applyNumberFormat="1" applyBorder="1"/>
    <xf numFmtId="165" fontId="0" fillId="4" borderId="1" xfId="0" applyNumberFormat="1" applyFill="1" applyBorder="1"/>
    <xf numFmtId="1" fontId="0" fillId="0" borderId="0" xfId="0" applyNumberFormat="1"/>
    <xf numFmtId="165" fontId="0" fillId="2" borderId="1" xfId="0" applyNumberFormat="1" applyFill="1" applyBorder="1"/>
    <xf numFmtId="165" fontId="0" fillId="0" borderId="3" xfId="0" applyNumberFormat="1" applyBorder="1"/>
    <xf numFmtId="0" fontId="0" fillId="0" borderId="3" xfId="0" applyBorder="1"/>
    <xf numFmtId="165" fontId="0" fillId="3" borderId="1" xfId="0" applyNumberFormat="1" applyFill="1" applyBorder="1"/>
    <xf numFmtId="165" fontId="2" fillId="0" borderId="0" xfId="0" applyNumberFormat="1" applyFont="1"/>
    <xf numFmtId="165" fontId="4" fillId="4" borderId="1" xfId="0" applyNumberFormat="1" applyFont="1" applyFill="1" applyBorder="1"/>
    <xf numFmtId="1" fontId="0" fillId="5" borderId="1" xfId="0" applyNumberFormat="1" applyFill="1" applyBorder="1" applyAlignment="1">
      <alignment horizontal="center" vertical="center"/>
    </xf>
    <xf numFmtId="165" fontId="0" fillId="0" borderId="1" xfId="0" applyNumberFormat="1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4" xfId="0" applyNumberFormat="1" applyBorder="1"/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165" fontId="0" fillId="0" borderId="4" xfId="0" applyNumberFormat="1" applyBorder="1"/>
    <xf numFmtId="165" fontId="4" fillId="0" borderId="1" xfId="0" applyNumberFormat="1" applyFont="1" applyBorder="1"/>
    <xf numFmtId="165" fontId="0" fillId="3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2" borderId="5" xfId="0" applyNumberFormat="1" applyFill="1" applyBorder="1"/>
    <xf numFmtId="165" fontId="0" fillId="0" borderId="5" xfId="0" applyNumberFormat="1" applyBorder="1"/>
    <xf numFmtId="165" fontId="3" fillId="0" borderId="0" xfId="0" applyNumberFormat="1" applyFont="1"/>
    <xf numFmtId="165" fontId="0" fillId="0" borderId="2" xfId="0" applyNumberFormat="1" applyBorder="1"/>
    <xf numFmtId="165" fontId="0" fillId="4" borderId="4" xfId="0" applyNumberFormat="1" applyFill="1" applyBorder="1"/>
    <xf numFmtId="1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3" borderId="6" xfId="0" applyNumberFormat="1" applyFont="1" applyFill="1" applyBorder="1" applyAlignment="1">
      <alignment horizontal="center"/>
    </xf>
    <xf numFmtId="165" fontId="2" fillId="3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A6E1-DCC3-8B4F-A150-896CE8CF30A8}">
  <dimension ref="A1:U174"/>
  <sheetViews>
    <sheetView tabSelected="1" topLeftCell="A32" zoomScale="63" zoomScaleNormal="75" workbookViewId="0">
      <selection activeCell="A30" sqref="A30"/>
    </sheetView>
  </sheetViews>
  <sheetFormatPr baseColWidth="10" defaultRowHeight="16" x14ac:dyDescent="0.2"/>
  <cols>
    <col min="2" max="2" width="16.83203125" customWidth="1"/>
    <col min="3" max="3" width="13.5" bestFit="1" customWidth="1"/>
    <col min="4" max="16" width="13" bestFit="1" customWidth="1"/>
  </cols>
  <sheetData>
    <row r="1" spans="1:16" x14ac:dyDescent="0.2">
      <c r="A1" s="2" t="s">
        <v>41</v>
      </c>
    </row>
    <row r="2" spans="1:16" x14ac:dyDescent="0.2">
      <c r="A2" s="38" t="s">
        <v>0</v>
      </c>
      <c r="B2" s="38"/>
    </row>
    <row r="4" spans="1:16" x14ac:dyDescent="0.2">
      <c r="B4" s="21" t="s">
        <v>2</v>
      </c>
      <c r="C4" s="21" t="s">
        <v>79</v>
      </c>
      <c r="D4" s="21" t="s">
        <v>80</v>
      </c>
      <c r="E4" s="21" t="s">
        <v>81</v>
      </c>
      <c r="F4" s="21" t="s">
        <v>83</v>
      </c>
      <c r="G4" s="21" t="s">
        <v>85</v>
      </c>
      <c r="H4" s="21" t="s">
        <v>84</v>
      </c>
      <c r="I4" s="21" t="s">
        <v>86</v>
      </c>
      <c r="J4" s="21" t="s">
        <v>87</v>
      </c>
      <c r="K4" s="21" t="s">
        <v>88</v>
      </c>
      <c r="L4" s="21" t="s">
        <v>89</v>
      </c>
      <c r="M4" s="21" t="s">
        <v>90</v>
      </c>
      <c r="N4" s="21" t="s">
        <v>91</v>
      </c>
      <c r="O4" s="21" t="s">
        <v>92</v>
      </c>
      <c r="P4" s="21" t="s">
        <v>93</v>
      </c>
    </row>
    <row r="5" spans="1:16" x14ac:dyDescent="0.2">
      <c r="B5" s="21" t="s">
        <v>66</v>
      </c>
      <c r="C5" s="14">
        <v>26</v>
      </c>
      <c r="D5" s="14">
        <v>23</v>
      </c>
      <c r="E5" s="14">
        <v>18</v>
      </c>
      <c r="F5" s="14">
        <v>7</v>
      </c>
      <c r="G5" s="14">
        <v>25</v>
      </c>
      <c r="H5" s="14">
        <v>22</v>
      </c>
      <c r="I5" s="14">
        <v>13</v>
      </c>
      <c r="J5" s="14">
        <v>34</v>
      </c>
      <c r="K5" s="14">
        <v>30</v>
      </c>
      <c r="L5" s="14">
        <v>7</v>
      </c>
      <c r="M5" s="14">
        <v>26</v>
      </c>
      <c r="N5" s="14">
        <v>24</v>
      </c>
      <c r="O5" s="14">
        <v>33</v>
      </c>
      <c r="P5" s="14">
        <v>35</v>
      </c>
    </row>
    <row r="6" spans="1:16" x14ac:dyDescent="0.2">
      <c r="B6" s="21" t="s">
        <v>67</v>
      </c>
      <c r="C6" s="14">
        <v>27</v>
      </c>
      <c r="D6" s="14">
        <v>22</v>
      </c>
      <c r="E6" s="14">
        <v>14</v>
      </c>
      <c r="F6" s="14">
        <v>9</v>
      </c>
      <c r="G6" s="14">
        <v>34</v>
      </c>
      <c r="H6" s="14">
        <v>23</v>
      </c>
      <c r="I6" s="14">
        <v>13</v>
      </c>
      <c r="J6" s="14">
        <v>24</v>
      </c>
      <c r="K6" s="14">
        <v>30</v>
      </c>
      <c r="L6" s="14">
        <v>18</v>
      </c>
      <c r="M6" s="14">
        <v>24</v>
      </c>
      <c r="N6" s="14">
        <v>22</v>
      </c>
      <c r="O6" s="14">
        <v>30</v>
      </c>
      <c r="P6" s="14">
        <v>29</v>
      </c>
    </row>
    <row r="7" spans="1:16" x14ac:dyDescent="0.2">
      <c r="B7" s="21" t="s">
        <v>68</v>
      </c>
      <c r="C7" s="14">
        <v>23</v>
      </c>
      <c r="D7" s="14">
        <v>19</v>
      </c>
      <c r="E7" s="14">
        <v>22</v>
      </c>
      <c r="F7" s="14">
        <v>26</v>
      </c>
      <c r="G7" s="14">
        <v>21</v>
      </c>
      <c r="H7" s="14">
        <v>26</v>
      </c>
      <c r="I7" s="14">
        <v>28</v>
      </c>
      <c r="J7" s="14">
        <v>25</v>
      </c>
      <c r="K7" s="14">
        <v>29</v>
      </c>
      <c r="L7" s="14">
        <v>22</v>
      </c>
      <c r="M7" s="14">
        <v>24</v>
      </c>
      <c r="N7" s="14">
        <v>19</v>
      </c>
      <c r="O7" s="14">
        <v>20</v>
      </c>
      <c r="P7" s="14">
        <v>19</v>
      </c>
    </row>
    <row r="8" spans="1:16" x14ac:dyDescent="0.2">
      <c r="B8" s="21" t="s">
        <v>69</v>
      </c>
      <c r="C8" s="14">
        <v>25</v>
      </c>
      <c r="D8" s="14">
        <v>19</v>
      </c>
      <c r="E8" s="14">
        <v>19</v>
      </c>
      <c r="F8" s="14">
        <v>31</v>
      </c>
      <c r="G8" s="14">
        <v>30</v>
      </c>
      <c r="H8" s="14">
        <v>28</v>
      </c>
      <c r="I8" s="14">
        <v>26</v>
      </c>
      <c r="J8" s="14">
        <v>25</v>
      </c>
      <c r="K8" s="14">
        <v>33</v>
      </c>
      <c r="L8" s="14">
        <v>29</v>
      </c>
      <c r="M8" s="14">
        <v>27</v>
      </c>
      <c r="N8" s="14">
        <v>22</v>
      </c>
      <c r="O8" s="14">
        <v>22</v>
      </c>
      <c r="P8" s="14">
        <v>15</v>
      </c>
    </row>
    <row r="9" spans="1:16" x14ac:dyDescent="0.2">
      <c r="B9" s="21" t="s">
        <v>70</v>
      </c>
      <c r="C9" s="14">
        <v>15</v>
      </c>
      <c r="D9" s="14">
        <v>16</v>
      </c>
      <c r="E9" s="14">
        <v>21</v>
      </c>
      <c r="F9" s="14">
        <v>32</v>
      </c>
      <c r="G9" s="14">
        <v>23</v>
      </c>
      <c r="H9" s="14">
        <v>19</v>
      </c>
      <c r="I9" s="14">
        <v>31</v>
      </c>
      <c r="J9" s="14">
        <v>28</v>
      </c>
      <c r="K9" s="14">
        <v>30</v>
      </c>
      <c r="L9" s="14">
        <v>19</v>
      </c>
      <c r="M9" s="14">
        <v>23</v>
      </c>
      <c r="N9" s="14">
        <v>20</v>
      </c>
      <c r="O9" s="14">
        <v>16</v>
      </c>
      <c r="P9" s="14">
        <v>14</v>
      </c>
    </row>
    <row r="10" spans="1:16" x14ac:dyDescent="0.2">
      <c r="B10" s="21" t="s">
        <v>71</v>
      </c>
      <c r="C10" s="14">
        <v>15</v>
      </c>
      <c r="D10" s="14">
        <v>10</v>
      </c>
      <c r="E10" s="14">
        <v>11</v>
      </c>
      <c r="F10" s="14">
        <v>29</v>
      </c>
      <c r="G10" s="14">
        <v>21</v>
      </c>
      <c r="H10" s="14">
        <v>13</v>
      </c>
      <c r="I10" s="14">
        <v>31</v>
      </c>
      <c r="J10" s="14">
        <v>29</v>
      </c>
      <c r="K10" s="14">
        <v>29</v>
      </c>
      <c r="L10" s="14">
        <v>17</v>
      </c>
      <c r="M10" s="14">
        <v>23</v>
      </c>
      <c r="N10" s="14">
        <v>16</v>
      </c>
      <c r="O10" s="14">
        <v>16</v>
      </c>
      <c r="P10" s="14">
        <v>23</v>
      </c>
    </row>
    <row r="11" spans="1:16" x14ac:dyDescent="0.2">
      <c r="B11" s="21" t="s">
        <v>72</v>
      </c>
      <c r="C11" s="14">
        <v>23</v>
      </c>
      <c r="D11" s="14">
        <v>21</v>
      </c>
      <c r="E11" s="14">
        <v>16</v>
      </c>
      <c r="F11" s="15">
        <v>17</v>
      </c>
      <c r="G11" s="14">
        <v>18</v>
      </c>
      <c r="H11" s="14">
        <v>17</v>
      </c>
      <c r="I11" s="14">
        <v>31</v>
      </c>
      <c r="J11" s="14">
        <v>21</v>
      </c>
      <c r="K11" s="14">
        <v>19</v>
      </c>
      <c r="L11" s="14">
        <v>24</v>
      </c>
      <c r="M11" s="14">
        <v>15</v>
      </c>
      <c r="N11" s="14">
        <v>17</v>
      </c>
      <c r="O11" s="14">
        <v>13</v>
      </c>
      <c r="P11" s="14">
        <v>28</v>
      </c>
    </row>
    <row r="12" spans="1:16" x14ac:dyDescent="0.2">
      <c r="A12" t="s">
        <v>1</v>
      </c>
      <c r="B12" s="22" t="s">
        <v>73</v>
      </c>
      <c r="C12" s="16">
        <v>22</v>
      </c>
      <c r="D12" s="16">
        <v>20</v>
      </c>
      <c r="E12" s="16">
        <v>11</v>
      </c>
      <c r="F12" s="16">
        <v>10</v>
      </c>
      <c r="G12" s="16">
        <v>31</v>
      </c>
      <c r="H12" s="16">
        <v>15</v>
      </c>
      <c r="I12" s="16">
        <v>14</v>
      </c>
      <c r="J12" s="16">
        <v>17</v>
      </c>
      <c r="K12" s="16">
        <v>14</v>
      </c>
      <c r="L12" s="14">
        <v>21</v>
      </c>
      <c r="M12" s="14">
        <v>15</v>
      </c>
      <c r="N12" s="14">
        <v>17</v>
      </c>
      <c r="O12" s="14">
        <v>21</v>
      </c>
      <c r="P12" s="14">
        <v>28</v>
      </c>
    </row>
    <row r="13" spans="1:16" x14ac:dyDescent="0.2"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5" spans="1:16" x14ac:dyDescent="0.2">
      <c r="A15" s="38" t="s">
        <v>20</v>
      </c>
      <c r="B15" s="38"/>
      <c r="C15" s="38"/>
    </row>
    <row r="17" spans="1:20" x14ac:dyDescent="0.2">
      <c r="B17" s="21" t="s">
        <v>2</v>
      </c>
      <c r="C17" s="21" t="s">
        <v>3</v>
      </c>
      <c r="D17" s="21" t="s">
        <v>4</v>
      </c>
      <c r="E17" s="21" t="s">
        <v>5</v>
      </c>
      <c r="F17" s="21" t="s">
        <v>6</v>
      </c>
      <c r="G17" s="21" t="s">
        <v>7</v>
      </c>
      <c r="H17" s="21" t="s">
        <v>8</v>
      </c>
      <c r="I17" s="21" t="s">
        <v>9</v>
      </c>
      <c r="J17" s="21" t="s">
        <v>10</v>
      </c>
      <c r="K17" s="21" t="s">
        <v>11</v>
      </c>
      <c r="L17" s="21" t="s">
        <v>74</v>
      </c>
      <c r="M17" s="21" t="s">
        <v>75</v>
      </c>
      <c r="N17" s="21" t="s">
        <v>76</v>
      </c>
      <c r="O17" s="21" t="s">
        <v>77</v>
      </c>
      <c r="P17" s="21" t="s">
        <v>78</v>
      </c>
    </row>
    <row r="18" spans="1:20" x14ac:dyDescent="0.2">
      <c r="A18" s="1"/>
      <c r="B18" s="6" t="s">
        <v>12</v>
      </c>
      <c r="C18" s="13">
        <f t="shared" ref="C18:C25" si="0">C5/SUM($C$5:$C$13)</f>
        <v>0.14772727272727273</v>
      </c>
      <c r="D18" s="13">
        <f t="shared" ref="D18:D25" si="1">D5/SUM($D$5:$D$13)</f>
        <v>0.15333333333333332</v>
      </c>
      <c r="E18" s="13">
        <f t="shared" ref="E18:E25" si="2">E5/SUM($E$5:$E$13)</f>
        <v>0.13636363636363635</v>
      </c>
      <c r="F18" s="13">
        <f t="shared" ref="F18:F25" si="3">F5/SUM($F$5:$F$13)</f>
        <v>4.3478260869565216E-2</v>
      </c>
      <c r="G18" s="13">
        <f t="shared" ref="G18:G25" si="4">G5/SUM($G$5:$G$13)</f>
        <v>0.12315270935960591</v>
      </c>
      <c r="H18" s="13">
        <f t="shared" ref="H18:H25" si="5">H5/SUM($H$5:$H$13)</f>
        <v>0.13496932515337423</v>
      </c>
      <c r="I18" s="13">
        <f t="shared" ref="I18:I25" si="6">I5/SUM($I$5:$I$13)</f>
        <v>6.9518716577540107E-2</v>
      </c>
      <c r="J18" s="13">
        <f t="shared" ref="J18:J25" si="7">J5/SUM($J$5:$J$13)</f>
        <v>0.16748768472906403</v>
      </c>
      <c r="K18" s="13">
        <f t="shared" ref="K18:K25" si="8">K5/SUM($K$5:$K$13)</f>
        <v>0.14018691588785046</v>
      </c>
      <c r="L18" s="13">
        <f t="shared" ref="L18:P25" si="9">L5/SUM($L$5:$L$13)</f>
        <v>4.4585987261146494E-2</v>
      </c>
      <c r="M18" s="13">
        <f t="shared" si="9"/>
        <v>0.16560509554140126</v>
      </c>
      <c r="N18" s="13">
        <f t="shared" si="9"/>
        <v>0.15286624203821655</v>
      </c>
      <c r="O18" s="13">
        <f t="shared" si="9"/>
        <v>0.21019108280254778</v>
      </c>
      <c r="P18" s="13">
        <f t="shared" si="9"/>
        <v>0.22292993630573249</v>
      </c>
      <c r="Q18" s="1"/>
      <c r="R18" s="1"/>
      <c r="S18" s="1"/>
      <c r="T18" s="1"/>
    </row>
    <row r="19" spans="1:20" x14ac:dyDescent="0.2">
      <c r="A19" s="1"/>
      <c r="B19" s="6" t="s">
        <v>13</v>
      </c>
      <c r="C19" s="13">
        <f t="shared" si="0"/>
        <v>0.15340909090909091</v>
      </c>
      <c r="D19" s="13">
        <f t="shared" si="1"/>
        <v>0.14666666666666667</v>
      </c>
      <c r="E19" s="13">
        <f t="shared" si="2"/>
        <v>0.10606060606060606</v>
      </c>
      <c r="F19" s="13">
        <f t="shared" si="3"/>
        <v>5.5900621118012424E-2</v>
      </c>
      <c r="G19" s="13">
        <f t="shared" si="4"/>
        <v>0.16748768472906403</v>
      </c>
      <c r="H19" s="13">
        <f t="shared" si="5"/>
        <v>0.1411042944785276</v>
      </c>
      <c r="I19" s="13">
        <f t="shared" si="6"/>
        <v>6.9518716577540107E-2</v>
      </c>
      <c r="J19" s="13">
        <f t="shared" si="7"/>
        <v>0.11822660098522167</v>
      </c>
      <c r="K19" s="13">
        <f t="shared" si="8"/>
        <v>0.14018691588785046</v>
      </c>
      <c r="L19" s="13">
        <f t="shared" si="9"/>
        <v>0.11464968152866242</v>
      </c>
      <c r="M19" s="13">
        <f t="shared" si="9"/>
        <v>0.15286624203821655</v>
      </c>
      <c r="N19" s="13">
        <f t="shared" si="9"/>
        <v>0.14012738853503184</v>
      </c>
      <c r="O19" s="13">
        <f t="shared" si="9"/>
        <v>0.19108280254777071</v>
      </c>
      <c r="P19" s="13">
        <f t="shared" si="9"/>
        <v>0.18471337579617833</v>
      </c>
      <c r="Q19" s="1"/>
      <c r="R19" s="1"/>
      <c r="S19" s="1"/>
      <c r="T19" s="1"/>
    </row>
    <row r="20" spans="1:20" x14ac:dyDescent="0.2">
      <c r="A20" s="1"/>
      <c r="B20" s="6" t="s">
        <v>14</v>
      </c>
      <c r="C20" s="13">
        <f t="shared" si="0"/>
        <v>0.13068181818181818</v>
      </c>
      <c r="D20" s="13">
        <f t="shared" si="1"/>
        <v>0.12666666666666668</v>
      </c>
      <c r="E20" s="13">
        <f t="shared" si="2"/>
        <v>0.16666666666666666</v>
      </c>
      <c r="F20" s="13">
        <f t="shared" si="3"/>
        <v>0.16149068322981366</v>
      </c>
      <c r="G20" s="13">
        <f t="shared" si="4"/>
        <v>0.10344827586206896</v>
      </c>
      <c r="H20" s="13">
        <f t="shared" si="5"/>
        <v>0.15950920245398773</v>
      </c>
      <c r="I20" s="13">
        <f t="shared" si="6"/>
        <v>0.1497326203208556</v>
      </c>
      <c r="J20" s="13">
        <f t="shared" si="7"/>
        <v>0.12315270935960591</v>
      </c>
      <c r="K20" s="13">
        <f t="shared" si="8"/>
        <v>0.13551401869158877</v>
      </c>
      <c r="L20" s="13">
        <f t="shared" si="9"/>
        <v>0.14012738853503184</v>
      </c>
      <c r="M20" s="13">
        <f t="shared" si="9"/>
        <v>0.15286624203821655</v>
      </c>
      <c r="N20" s="13">
        <f t="shared" si="9"/>
        <v>0.12101910828025478</v>
      </c>
      <c r="O20" s="13">
        <f t="shared" si="9"/>
        <v>0.12738853503184713</v>
      </c>
      <c r="P20" s="13">
        <f t="shared" si="9"/>
        <v>0.12101910828025478</v>
      </c>
      <c r="Q20" s="1"/>
      <c r="R20" s="1"/>
      <c r="S20" s="1"/>
      <c r="T20" s="1"/>
    </row>
    <row r="21" spans="1:20" x14ac:dyDescent="0.2">
      <c r="A21" s="1"/>
      <c r="B21" s="6" t="s">
        <v>15</v>
      </c>
      <c r="C21" s="13">
        <f t="shared" si="0"/>
        <v>0.14204545454545456</v>
      </c>
      <c r="D21" s="13">
        <f t="shared" si="1"/>
        <v>0.12666666666666668</v>
      </c>
      <c r="E21" s="13">
        <f t="shared" si="2"/>
        <v>0.14393939393939395</v>
      </c>
      <c r="F21" s="13">
        <f t="shared" si="3"/>
        <v>0.19254658385093168</v>
      </c>
      <c r="G21" s="13">
        <f t="shared" si="4"/>
        <v>0.14778325123152711</v>
      </c>
      <c r="H21" s="13">
        <f t="shared" si="5"/>
        <v>0.17177914110429449</v>
      </c>
      <c r="I21" s="13">
        <f t="shared" si="6"/>
        <v>0.13903743315508021</v>
      </c>
      <c r="J21" s="13">
        <f t="shared" si="7"/>
        <v>0.12315270935960591</v>
      </c>
      <c r="K21" s="13">
        <f t="shared" si="8"/>
        <v>0.1542056074766355</v>
      </c>
      <c r="L21" s="13">
        <f t="shared" si="9"/>
        <v>0.18471337579617833</v>
      </c>
      <c r="M21" s="13">
        <f t="shared" si="9"/>
        <v>0.17197452229299362</v>
      </c>
      <c r="N21" s="13">
        <f t="shared" si="9"/>
        <v>0.14012738853503184</v>
      </c>
      <c r="O21" s="13">
        <f t="shared" si="9"/>
        <v>0.14012738853503184</v>
      </c>
      <c r="P21" s="13">
        <f t="shared" si="9"/>
        <v>9.5541401273885357E-2</v>
      </c>
      <c r="Q21" s="1"/>
      <c r="R21" s="1"/>
      <c r="S21" s="1"/>
      <c r="T21" s="1"/>
    </row>
    <row r="22" spans="1:20" x14ac:dyDescent="0.2">
      <c r="A22" s="1"/>
      <c r="B22" s="6" t="s">
        <v>16</v>
      </c>
      <c r="C22" s="13">
        <f t="shared" si="0"/>
        <v>8.5227272727272721E-2</v>
      </c>
      <c r="D22" s="13">
        <f t="shared" si="1"/>
        <v>0.10666666666666667</v>
      </c>
      <c r="E22" s="13">
        <f t="shared" si="2"/>
        <v>0.15909090909090909</v>
      </c>
      <c r="F22" s="13">
        <f t="shared" si="3"/>
        <v>0.19875776397515527</v>
      </c>
      <c r="G22" s="13">
        <f t="shared" si="4"/>
        <v>0.11330049261083744</v>
      </c>
      <c r="H22" s="13">
        <f t="shared" si="5"/>
        <v>0.1165644171779141</v>
      </c>
      <c r="I22" s="13">
        <f t="shared" si="6"/>
        <v>0.16577540106951871</v>
      </c>
      <c r="J22" s="13">
        <f t="shared" si="7"/>
        <v>0.13793103448275862</v>
      </c>
      <c r="K22" s="13">
        <f t="shared" si="8"/>
        <v>0.14018691588785046</v>
      </c>
      <c r="L22" s="13">
        <f t="shared" si="9"/>
        <v>0.12101910828025478</v>
      </c>
      <c r="M22" s="13">
        <f t="shared" si="9"/>
        <v>0.1464968152866242</v>
      </c>
      <c r="N22" s="13">
        <f t="shared" si="9"/>
        <v>0.12738853503184713</v>
      </c>
      <c r="O22" s="13">
        <f t="shared" si="9"/>
        <v>0.10191082802547771</v>
      </c>
      <c r="P22" s="13">
        <f t="shared" si="9"/>
        <v>8.9171974522292988E-2</v>
      </c>
      <c r="Q22" s="1"/>
      <c r="R22" s="1"/>
      <c r="S22" s="1"/>
      <c r="T22" s="1"/>
    </row>
    <row r="23" spans="1:20" x14ac:dyDescent="0.2">
      <c r="A23" s="1"/>
      <c r="B23" s="6" t="s">
        <v>17</v>
      </c>
      <c r="C23" s="13">
        <f t="shared" si="0"/>
        <v>8.5227272727272721E-2</v>
      </c>
      <c r="D23" s="13">
        <f t="shared" si="1"/>
        <v>6.6666666666666666E-2</v>
      </c>
      <c r="E23" s="13">
        <f t="shared" si="2"/>
        <v>8.3333333333333329E-2</v>
      </c>
      <c r="F23" s="13">
        <f t="shared" si="3"/>
        <v>0.18012422360248448</v>
      </c>
      <c r="G23" s="13">
        <f t="shared" si="4"/>
        <v>0.10344827586206896</v>
      </c>
      <c r="H23" s="13">
        <f t="shared" si="5"/>
        <v>7.9754601226993863E-2</v>
      </c>
      <c r="I23" s="13">
        <f t="shared" si="6"/>
        <v>0.16577540106951871</v>
      </c>
      <c r="J23" s="13">
        <f t="shared" si="7"/>
        <v>0.14285714285714285</v>
      </c>
      <c r="K23" s="13">
        <f t="shared" si="8"/>
        <v>0.13551401869158877</v>
      </c>
      <c r="L23" s="13">
        <f t="shared" si="9"/>
        <v>0.10828025477707007</v>
      </c>
      <c r="M23" s="13">
        <f t="shared" si="9"/>
        <v>0.1464968152866242</v>
      </c>
      <c r="N23" s="13">
        <f t="shared" si="9"/>
        <v>0.10191082802547771</v>
      </c>
      <c r="O23" s="13">
        <f t="shared" si="9"/>
        <v>0.10191082802547771</v>
      </c>
      <c r="P23" s="13">
        <f t="shared" si="9"/>
        <v>0.1464968152866242</v>
      </c>
      <c r="Q23" s="1"/>
      <c r="R23" s="1"/>
      <c r="S23" s="1"/>
      <c r="T23" s="1"/>
    </row>
    <row r="24" spans="1:20" x14ac:dyDescent="0.2">
      <c r="A24" s="1"/>
      <c r="B24" s="6" t="s">
        <v>18</v>
      </c>
      <c r="C24" s="13">
        <f t="shared" si="0"/>
        <v>0.13068181818181818</v>
      </c>
      <c r="D24" s="13">
        <f t="shared" si="1"/>
        <v>0.14000000000000001</v>
      </c>
      <c r="E24" s="13">
        <f t="shared" si="2"/>
        <v>0.12121212121212122</v>
      </c>
      <c r="F24" s="13">
        <f t="shared" si="3"/>
        <v>0.10559006211180125</v>
      </c>
      <c r="G24" s="13">
        <f t="shared" si="4"/>
        <v>8.8669950738916259E-2</v>
      </c>
      <c r="H24" s="13">
        <f t="shared" si="5"/>
        <v>0.10429447852760736</v>
      </c>
      <c r="I24" s="13">
        <f t="shared" si="6"/>
        <v>0.16577540106951871</v>
      </c>
      <c r="J24" s="13">
        <f t="shared" si="7"/>
        <v>0.10344827586206896</v>
      </c>
      <c r="K24" s="13">
        <f t="shared" si="8"/>
        <v>8.8785046728971959E-2</v>
      </c>
      <c r="L24" s="13">
        <f t="shared" si="9"/>
        <v>0.15286624203821655</v>
      </c>
      <c r="M24" s="13">
        <f t="shared" si="9"/>
        <v>9.5541401273885357E-2</v>
      </c>
      <c r="N24" s="13">
        <f t="shared" si="9"/>
        <v>0.10828025477707007</v>
      </c>
      <c r="O24" s="13">
        <f t="shared" si="9"/>
        <v>8.2802547770700632E-2</v>
      </c>
      <c r="P24" s="13">
        <f t="shared" si="9"/>
        <v>0.17834394904458598</v>
      </c>
      <c r="Q24" s="1"/>
      <c r="R24" s="1"/>
      <c r="S24" s="1"/>
      <c r="T24" s="1"/>
    </row>
    <row r="25" spans="1:20" x14ac:dyDescent="0.2">
      <c r="A25" s="1" t="s">
        <v>30</v>
      </c>
      <c r="B25" s="6" t="s">
        <v>19</v>
      </c>
      <c r="C25" s="23">
        <f t="shared" si="0"/>
        <v>0.125</v>
      </c>
      <c r="D25" s="23">
        <f t="shared" si="1"/>
        <v>0.13333333333333333</v>
      </c>
      <c r="E25" s="23">
        <f t="shared" si="2"/>
        <v>8.3333333333333329E-2</v>
      </c>
      <c r="F25" s="23">
        <f t="shared" si="3"/>
        <v>6.2111801242236024E-2</v>
      </c>
      <c r="G25" s="23">
        <f t="shared" si="4"/>
        <v>0.15270935960591134</v>
      </c>
      <c r="H25" s="23">
        <f t="shared" si="5"/>
        <v>9.202453987730061E-2</v>
      </c>
      <c r="I25" s="23">
        <f t="shared" si="6"/>
        <v>7.4866310160427801E-2</v>
      </c>
      <c r="J25" s="23">
        <f t="shared" si="7"/>
        <v>8.3743842364532015E-2</v>
      </c>
      <c r="K25" s="23">
        <f t="shared" si="8"/>
        <v>6.5420560747663545E-2</v>
      </c>
      <c r="L25" s="13">
        <f t="shared" si="9"/>
        <v>0.13375796178343949</v>
      </c>
      <c r="M25" s="13">
        <f t="shared" si="9"/>
        <v>9.5541401273885357E-2</v>
      </c>
      <c r="N25" s="13">
        <f t="shared" si="9"/>
        <v>0.10828025477707007</v>
      </c>
      <c r="O25" s="13">
        <f t="shared" si="9"/>
        <v>0.13375796178343949</v>
      </c>
      <c r="P25" s="13">
        <f t="shared" si="9"/>
        <v>0.17834394904458598</v>
      </c>
      <c r="Q25" s="1"/>
      <c r="R25" s="1"/>
      <c r="S25" s="1"/>
      <c r="T25" s="1"/>
    </row>
    <row r="26" spans="1:20" x14ac:dyDescent="0.2">
      <c r="A26" s="1"/>
      <c r="B26" s="7"/>
      <c r="C26" s="7"/>
      <c r="D26" s="7"/>
      <c r="E26" s="7"/>
      <c r="F26" s="7"/>
      <c r="G26" s="7"/>
      <c r="H26" s="7"/>
      <c r="I26" s="7"/>
      <c r="J26" s="7"/>
      <c r="K26" s="7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33" t="s">
        <v>27</v>
      </c>
      <c r="B28" s="33"/>
      <c r="C28" s="33"/>
      <c r="D28" s="10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5">
        <v>1</v>
      </c>
      <c r="B30" s="6" t="s">
        <v>23</v>
      </c>
      <c r="C30" s="13">
        <f t="shared" ref="C30:P30" si="10">MAX(C18:C26)</f>
        <v>0.15340909090909091</v>
      </c>
      <c r="D30" s="13">
        <f t="shared" si="10"/>
        <v>0.15333333333333332</v>
      </c>
      <c r="E30" s="13">
        <f t="shared" si="10"/>
        <v>0.16666666666666666</v>
      </c>
      <c r="F30" s="13">
        <f t="shared" si="10"/>
        <v>0.19875776397515527</v>
      </c>
      <c r="G30" s="13">
        <f t="shared" si="10"/>
        <v>0.16748768472906403</v>
      </c>
      <c r="H30" s="13">
        <f t="shared" si="10"/>
        <v>0.17177914110429449</v>
      </c>
      <c r="I30" s="13">
        <f t="shared" si="10"/>
        <v>0.16577540106951871</v>
      </c>
      <c r="J30" s="13">
        <f t="shared" si="10"/>
        <v>0.16748768472906403</v>
      </c>
      <c r="K30" s="13">
        <f t="shared" si="10"/>
        <v>0.1542056074766355</v>
      </c>
      <c r="L30" s="13">
        <f t="shared" si="10"/>
        <v>0.18471337579617833</v>
      </c>
      <c r="M30" s="13">
        <f t="shared" si="10"/>
        <v>0.17197452229299362</v>
      </c>
      <c r="N30" s="13">
        <f t="shared" si="10"/>
        <v>0.15286624203821655</v>
      </c>
      <c r="O30" s="13">
        <f t="shared" si="10"/>
        <v>0.21019108280254778</v>
      </c>
      <c r="P30" s="13">
        <f t="shared" si="10"/>
        <v>0.22292993630573249</v>
      </c>
      <c r="Q30" s="1"/>
      <c r="R30" s="1"/>
      <c r="S30" s="1"/>
      <c r="T30" s="1"/>
    </row>
    <row r="31" spans="1:20" x14ac:dyDescent="0.2">
      <c r="A31" s="1">
        <v>3.3220000000000001</v>
      </c>
      <c r="B31" s="6" t="s">
        <v>24</v>
      </c>
      <c r="C31" s="13">
        <f t="shared" ref="C31:P31" si="11">MIN(C18:C26)</f>
        <v>8.5227272727272721E-2</v>
      </c>
      <c r="D31" s="13">
        <f t="shared" si="11"/>
        <v>6.6666666666666666E-2</v>
      </c>
      <c r="E31" s="13">
        <f t="shared" si="11"/>
        <v>8.3333333333333329E-2</v>
      </c>
      <c r="F31" s="13">
        <f t="shared" si="11"/>
        <v>4.3478260869565216E-2</v>
      </c>
      <c r="G31" s="13">
        <f t="shared" si="11"/>
        <v>8.8669950738916259E-2</v>
      </c>
      <c r="H31" s="13">
        <f t="shared" si="11"/>
        <v>7.9754601226993863E-2</v>
      </c>
      <c r="I31" s="13">
        <f t="shared" si="11"/>
        <v>6.9518716577540107E-2</v>
      </c>
      <c r="J31" s="13">
        <f t="shared" si="11"/>
        <v>8.3743842364532015E-2</v>
      </c>
      <c r="K31" s="13">
        <f t="shared" si="11"/>
        <v>6.5420560747663545E-2</v>
      </c>
      <c r="L31" s="13">
        <f t="shared" si="11"/>
        <v>4.4585987261146494E-2</v>
      </c>
      <c r="M31" s="13">
        <f t="shared" si="11"/>
        <v>9.5541401273885357E-2</v>
      </c>
      <c r="N31" s="13">
        <f t="shared" si="11"/>
        <v>0.10191082802547771</v>
      </c>
      <c r="O31" s="13">
        <f t="shared" si="11"/>
        <v>8.2802547770700632E-2</v>
      </c>
      <c r="P31" s="13">
        <f t="shared" si="11"/>
        <v>8.9171974522292988E-2</v>
      </c>
      <c r="Q31" s="1"/>
      <c r="R31" s="1"/>
      <c r="S31" s="1"/>
      <c r="T31" s="1"/>
    </row>
    <row r="32" spans="1:20" x14ac:dyDescent="0.2">
      <c r="A32" s="5">
        <v>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6"/>
      <c r="S34" s="1"/>
      <c r="T34" s="1"/>
    </row>
    <row r="35" spans="1:20" x14ac:dyDescent="0.2">
      <c r="A35" s="1"/>
      <c r="B35" s="1"/>
      <c r="C35" s="6" t="s">
        <v>3</v>
      </c>
      <c r="D35" s="6" t="s">
        <v>4</v>
      </c>
      <c r="E35" s="6" t="s">
        <v>5</v>
      </c>
      <c r="F35" s="6" t="s">
        <v>6</v>
      </c>
      <c r="G35" s="6" t="s">
        <v>7</v>
      </c>
      <c r="H35" s="6" t="s">
        <v>8</v>
      </c>
      <c r="I35" s="6" t="s">
        <v>9</v>
      </c>
      <c r="J35" s="6" t="s">
        <v>10</v>
      </c>
      <c r="K35" s="6" t="s">
        <v>11</v>
      </c>
      <c r="L35" s="6" t="s">
        <v>74</v>
      </c>
      <c r="M35" s="6" t="s">
        <v>75</v>
      </c>
      <c r="N35" s="6" t="s">
        <v>76</v>
      </c>
      <c r="O35" s="6" t="s">
        <v>77</v>
      </c>
      <c r="P35" s="6" t="s">
        <v>78</v>
      </c>
      <c r="Q35" s="1"/>
      <c r="R35" s="26"/>
      <c r="S35" s="1"/>
      <c r="T35" s="1"/>
    </row>
    <row r="36" spans="1:20" x14ac:dyDescent="0.2">
      <c r="A36" s="1"/>
      <c r="B36" s="6" t="s">
        <v>21</v>
      </c>
      <c r="C36" s="13">
        <f t="shared" ref="C36:P36" si="12">(C30-C31)/($A$30+($A$31*LOG10($A$32)))</f>
        <v>1.7045177830683E-2</v>
      </c>
      <c r="D36" s="13">
        <f t="shared" si="12"/>
        <v>2.166631493144594E-2</v>
      </c>
      <c r="E36" s="13">
        <f t="shared" si="12"/>
        <v>2.0832995126390329E-2</v>
      </c>
      <c r="F36" s="13">
        <f t="shared" si="12"/>
        <v>3.8819245577124836E-2</v>
      </c>
      <c r="G36" s="13">
        <f t="shared" si="12"/>
        <v>1.9704113617078533E-2</v>
      </c>
      <c r="H36" s="13">
        <f t="shared" si="12"/>
        <v>2.3005761489265395E-2</v>
      </c>
      <c r="I36" s="13">
        <f t="shared" si="12"/>
        <v>2.4063780466846582E-2</v>
      </c>
      <c r="J36" s="13">
        <f t="shared" si="12"/>
        <v>2.0935620718145944E-2</v>
      </c>
      <c r="K36" s="13">
        <f t="shared" si="12"/>
        <v>2.2195901349612124E-2</v>
      </c>
      <c r="L36" s="13">
        <f t="shared" si="12"/>
        <v>3.5031278429089471E-2</v>
      </c>
      <c r="M36" s="13">
        <f t="shared" si="12"/>
        <v>1.9107970052230618E-2</v>
      </c>
      <c r="N36" s="13">
        <f t="shared" si="12"/>
        <v>1.2738646701487078E-2</v>
      </c>
      <c r="O36" s="13">
        <f t="shared" si="12"/>
        <v>3.1846616753717708E-2</v>
      </c>
      <c r="P36" s="13">
        <f t="shared" si="12"/>
        <v>3.3438947591403589E-2</v>
      </c>
      <c r="Q36" s="1"/>
      <c r="R36" s="1"/>
      <c r="S36" s="1"/>
      <c r="T36" s="1"/>
    </row>
    <row r="37" spans="1:20" x14ac:dyDescent="0.2">
      <c r="A37" s="1" t="s">
        <v>36</v>
      </c>
      <c r="B37" s="6" t="s">
        <v>33</v>
      </c>
      <c r="C37" s="3">
        <f>C36^2</f>
        <v>2.9053808727960722E-4</v>
      </c>
      <c r="D37" s="3">
        <f t="shared" ref="D37:P37" si="13">D36^2</f>
        <v>4.694292027085973E-4</v>
      </c>
      <c r="E37" s="3">
        <f t="shared" si="13"/>
        <v>4.340136859362032E-4</v>
      </c>
      <c r="F37" s="3">
        <f t="shared" si="13"/>
        <v>1.5069338271771261E-3</v>
      </c>
      <c r="G37" s="3">
        <f t="shared" si="13"/>
        <v>3.8825209343473966E-4</v>
      </c>
      <c r="H37" s="3">
        <f t="shared" si="13"/>
        <v>5.2926506170096672E-4</v>
      </c>
      <c r="I37" s="3">
        <f t="shared" si="13"/>
        <v>5.7906553035658712E-4</v>
      </c>
      <c r="J37" s="3">
        <f t="shared" si="13"/>
        <v>4.3830021485406171E-4</v>
      </c>
      <c r="K37" s="3">
        <f t="shared" si="13"/>
        <v>4.9265803672171333E-4</v>
      </c>
      <c r="L37" s="3">
        <f t="shared" si="13"/>
        <v>1.2271904683763893E-3</v>
      </c>
      <c r="M37" s="3">
        <f t="shared" si="13"/>
        <v>3.6511451951694215E-4</v>
      </c>
      <c r="N37" s="3">
        <f t="shared" si="13"/>
        <v>1.6227311978530762E-4</v>
      </c>
      <c r="O37" s="3">
        <f t="shared" si="13"/>
        <v>1.0142069986581734E-3</v>
      </c>
      <c r="P37" s="3">
        <f t="shared" si="13"/>
        <v>1.118163216020636E-3</v>
      </c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33" t="s">
        <v>28</v>
      </c>
      <c r="B39" s="33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/>
      <c r="B41" s="1"/>
      <c r="C41" s="6" t="s">
        <v>3</v>
      </c>
      <c r="D41" s="6" t="s">
        <v>4</v>
      </c>
      <c r="E41" s="6" t="s">
        <v>5</v>
      </c>
      <c r="F41" s="6" t="s">
        <v>6</v>
      </c>
      <c r="G41" s="6" t="s">
        <v>7</v>
      </c>
      <c r="H41" s="6" t="s">
        <v>8</v>
      </c>
      <c r="I41" s="6" t="s">
        <v>9</v>
      </c>
      <c r="J41" s="6" t="s">
        <v>10</v>
      </c>
      <c r="K41" s="6" t="s">
        <v>11</v>
      </c>
      <c r="L41" s="6" t="s">
        <v>74</v>
      </c>
      <c r="M41" s="6" t="s">
        <v>75</v>
      </c>
      <c r="N41" s="6" t="s">
        <v>76</v>
      </c>
      <c r="O41" s="6" t="s">
        <v>77</v>
      </c>
      <c r="P41" s="6" t="s">
        <v>78</v>
      </c>
      <c r="Q41" s="1"/>
      <c r="R41" s="1"/>
      <c r="S41" s="1"/>
      <c r="T41" s="1"/>
    </row>
    <row r="42" spans="1:20" x14ac:dyDescent="0.2">
      <c r="A42" s="1"/>
      <c r="B42" s="6" t="s">
        <v>29</v>
      </c>
      <c r="C42" s="13">
        <f t="shared" ref="C42:P42" si="14">SUM(C18:C25) / (($A$32 - $A$30) * C36)</f>
        <v>8.3810884389827791</v>
      </c>
      <c r="D42" s="13">
        <f t="shared" si="14"/>
        <v>6.5935136320668732</v>
      </c>
      <c r="E42" s="13">
        <f t="shared" si="14"/>
        <v>6.8572541773495486</v>
      </c>
      <c r="F42" s="13">
        <f t="shared" si="14"/>
        <v>3.6800597418442575</v>
      </c>
      <c r="G42" s="13">
        <f t="shared" si="14"/>
        <v>7.2501176979268669</v>
      </c>
      <c r="H42" s="13">
        <f t="shared" si="14"/>
        <v>6.2096246161554225</v>
      </c>
      <c r="I42" s="13">
        <f t="shared" si="14"/>
        <v>5.9366043109461364</v>
      </c>
      <c r="J42" s="13">
        <f t="shared" si="14"/>
        <v>6.8236401862841101</v>
      </c>
      <c r="K42" s="13">
        <f t="shared" si="14"/>
        <v>6.4361947103193131</v>
      </c>
      <c r="L42" s="13">
        <f t="shared" si="14"/>
        <v>4.0779882797116622</v>
      </c>
      <c r="M42" s="13">
        <f t="shared" si="14"/>
        <v>8.4287082596588192</v>
      </c>
      <c r="N42" s="13">
        <f t="shared" si="14"/>
        <v>11.214467769207074</v>
      </c>
      <c r="O42" s="13">
        <f t="shared" si="14"/>
        <v>4.8857936013615513</v>
      </c>
      <c r="P42" s="13">
        <f t="shared" si="14"/>
        <v>5.1973632852133473</v>
      </c>
      <c r="Q42" s="1"/>
      <c r="R42" s="1"/>
      <c r="S42" s="1"/>
      <c r="T42" s="1"/>
    </row>
    <row r="43" spans="1:2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1" t="s">
        <v>31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33" t="s">
        <v>32</v>
      </c>
      <c r="B46" s="3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1"/>
      <c r="B48" s="6" t="s">
        <v>34</v>
      </c>
      <c r="C48" s="6" t="s">
        <v>3</v>
      </c>
      <c r="D48" s="6" t="s">
        <v>4</v>
      </c>
      <c r="E48" s="6" t="s">
        <v>5</v>
      </c>
      <c r="F48" s="6" t="s">
        <v>6</v>
      </c>
      <c r="G48" s="6" t="s">
        <v>7</v>
      </c>
      <c r="H48" s="6" t="s">
        <v>8</v>
      </c>
      <c r="I48" s="6" t="s">
        <v>9</v>
      </c>
      <c r="J48" s="6" t="s">
        <v>10</v>
      </c>
      <c r="K48" s="6" t="s">
        <v>11</v>
      </c>
      <c r="L48" s="6" t="s">
        <v>74</v>
      </c>
      <c r="M48" s="6" t="s">
        <v>75</v>
      </c>
      <c r="N48" s="6" t="s">
        <v>76</v>
      </c>
      <c r="O48" s="6" t="s">
        <v>77</v>
      </c>
      <c r="P48" s="6" t="s">
        <v>78</v>
      </c>
      <c r="Q48" s="1"/>
      <c r="R48" s="1"/>
      <c r="S48" s="1"/>
      <c r="T48" s="1"/>
    </row>
    <row r="49" spans="1:20" x14ac:dyDescent="0.2">
      <c r="A49" s="1"/>
      <c r="B49" s="6" t="s">
        <v>12</v>
      </c>
      <c r="C49" s="13">
        <f t="shared" ref="C49:P49" si="15">SQRT((C19-C18)^2 + C$37)</f>
        <v>1.7967224191033151E-2</v>
      </c>
      <c r="D49" s="13">
        <f t="shared" si="15"/>
        <v>2.2668781333654475E-2</v>
      </c>
      <c r="E49" s="13">
        <f t="shared" si="15"/>
        <v>3.6773459607202789E-2</v>
      </c>
      <c r="F49" s="13">
        <f t="shared" si="15"/>
        <v>4.0758420741232447E-2</v>
      </c>
      <c r="G49" s="13">
        <f t="shared" si="15"/>
        <v>4.8516410980669181E-2</v>
      </c>
      <c r="H49" s="13">
        <f t="shared" si="15"/>
        <v>2.3809723020680847E-2</v>
      </c>
      <c r="I49" s="13">
        <f t="shared" si="15"/>
        <v>2.4063780466846582E-2</v>
      </c>
      <c r="J49" s="13">
        <f t="shared" si="15"/>
        <v>5.352527054085679E-2</v>
      </c>
      <c r="K49" s="13">
        <f t="shared" si="15"/>
        <v>2.2195901349612124E-2</v>
      </c>
      <c r="L49" s="13">
        <f t="shared" si="15"/>
        <v>7.8333337237655939E-2</v>
      </c>
      <c r="M49" s="13">
        <f t="shared" si="15"/>
        <v>2.2965036644702824E-2</v>
      </c>
      <c r="N49" s="13">
        <f t="shared" si="15"/>
        <v>1.8015313162998554E-2</v>
      </c>
      <c r="O49" s="13">
        <f t="shared" si="15"/>
        <v>3.7139377659746488E-2</v>
      </c>
      <c r="P49" s="13">
        <f t="shared" si="15"/>
        <v>5.0780593864202202E-2</v>
      </c>
      <c r="Q49" s="1"/>
      <c r="R49" s="1"/>
      <c r="S49" s="1"/>
      <c r="T49" s="1"/>
    </row>
    <row r="50" spans="1:20" x14ac:dyDescent="0.2">
      <c r="A50" s="1"/>
      <c r="B50" s="6" t="s">
        <v>13</v>
      </c>
      <c r="C50" s="13">
        <f t="shared" ref="C50:P50" si="16">SQRT((C20-C19)^2 + C$37)</f>
        <v>2.8408924881090487E-2</v>
      </c>
      <c r="D50" s="13">
        <f t="shared" si="16"/>
        <v>2.9486084899636927E-2</v>
      </c>
      <c r="E50" s="13">
        <f t="shared" si="16"/>
        <v>6.4086724585686955E-2</v>
      </c>
      <c r="F50" s="13">
        <f t="shared" si="16"/>
        <v>0.11249975575062895</v>
      </c>
      <c r="G50" s="13">
        <f t="shared" si="16"/>
        <v>6.7002223705403291E-2</v>
      </c>
      <c r="H50" s="13">
        <f t="shared" si="16"/>
        <v>2.9461936448341657E-2</v>
      </c>
      <c r="I50" s="13">
        <f t="shared" si="16"/>
        <v>8.3745661882263914E-2</v>
      </c>
      <c r="J50" s="13">
        <f t="shared" si="16"/>
        <v>2.1507365216833052E-2</v>
      </c>
      <c r="K50" s="13">
        <f t="shared" si="16"/>
        <v>2.2682460292669831E-2</v>
      </c>
      <c r="L50" s="13">
        <f t="shared" si="16"/>
        <v>4.3316325128971808E-2</v>
      </c>
      <c r="M50" s="13">
        <f t="shared" si="16"/>
        <v>1.9107970052230618E-2</v>
      </c>
      <c r="N50" s="13">
        <f t="shared" si="16"/>
        <v>2.296518003588064E-2</v>
      </c>
      <c r="O50" s="13">
        <f t="shared" si="16"/>
        <v>7.1212124761505416E-2</v>
      </c>
      <c r="P50" s="13">
        <f t="shared" si="16"/>
        <v>7.1938327270035074E-2</v>
      </c>
      <c r="Q50" s="1"/>
      <c r="R50" s="1"/>
      <c r="S50" s="1"/>
      <c r="T50" s="1"/>
    </row>
    <row r="51" spans="1:20" x14ac:dyDescent="0.2">
      <c r="A51" s="1"/>
      <c r="B51" s="6" t="s">
        <v>14</v>
      </c>
      <c r="C51" s="13">
        <f t="shared" ref="C51:P51" si="17">SQRT((C21-C20)^2 + C$37)</f>
        <v>2.0485856552376967E-2</v>
      </c>
      <c r="D51" s="13">
        <f t="shared" si="17"/>
        <v>2.166631493144594E-2</v>
      </c>
      <c r="E51" s="13">
        <f t="shared" si="17"/>
        <v>3.0830871080072274E-2</v>
      </c>
      <c r="F51" s="13">
        <f t="shared" si="17"/>
        <v>4.9713205394199683E-2</v>
      </c>
      <c r="G51" s="13">
        <f t="shared" si="17"/>
        <v>4.8516410980669208E-2</v>
      </c>
      <c r="H51" s="13">
        <f t="shared" si="17"/>
        <v>2.6073290091265015E-2</v>
      </c>
      <c r="I51" s="13">
        <f t="shared" si="17"/>
        <v>2.6333487404207476E-2</v>
      </c>
      <c r="J51" s="13">
        <f t="shared" si="17"/>
        <v>2.0935620718145944E-2</v>
      </c>
      <c r="K51" s="13">
        <f t="shared" si="17"/>
        <v>2.901781397746905E-2</v>
      </c>
      <c r="L51" s="13">
        <f t="shared" si="17"/>
        <v>5.6701858244924443E-2</v>
      </c>
      <c r="M51" s="13">
        <f t="shared" si="17"/>
        <v>2.7022969744497832E-2</v>
      </c>
      <c r="N51" s="13">
        <f t="shared" si="17"/>
        <v>2.296518003588064E-2</v>
      </c>
      <c r="O51" s="13">
        <f t="shared" si="17"/>
        <v>3.4299932758443931E-2</v>
      </c>
      <c r="P51" s="13">
        <f t="shared" si="17"/>
        <v>4.203899107165919E-2</v>
      </c>
      <c r="Q51" s="1"/>
      <c r="R51" s="1"/>
      <c r="S51" s="1"/>
      <c r="T51" s="1"/>
    </row>
    <row r="52" spans="1:20" x14ac:dyDescent="0.2">
      <c r="A52" s="1"/>
      <c r="B52" s="6" t="s">
        <v>15</v>
      </c>
      <c r="C52" s="13">
        <f t="shared" ref="C52:P52" si="18">SQRT((C22-C21)^2 + C$37)</f>
        <v>5.9319843833270297E-2</v>
      </c>
      <c r="D52" s="13">
        <f t="shared" si="18"/>
        <v>2.9486084899636937E-2</v>
      </c>
      <c r="E52" s="13">
        <f t="shared" si="18"/>
        <v>2.576008729260823E-2</v>
      </c>
      <c r="F52" s="13">
        <f t="shared" si="18"/>
        <v>3.9313007843621892E-2</v>
      </c>
      <c r="G52" s="13">
        <f t="shared" si="18"/>
        <v>3.9715396706157771E-2</v>
      </c>
      <c r="H52" s="13">
        <f t="shared" si="18"/>
        <v>5.9815807275062076E-2</v>
      </c>
      <c r="I52" s="13">
        <f t="shared" si="18"/>
        <v>3.5971995476344228E-2</v>
      </c>
      <c r="J52" s="13">
        <f t="shared" si="18"/>
        <v>2.562614111214695E-2</v>
      </c>
      <c r="K52" s="13">
        <f t="shared" si="18"/>
        <v>2.6252271341413221E-2</v>
      </c>
      <c r="L52" s="13">
        <f t="shared" si="18"/>
        <v>7.2692160394133454E-2</v>
      </c>
      <c r="M52" s="13">
        <f t="shared" si="18"/>
        <v>3.1846947637400785E-2</v>
      </c>
      <c r="N52" s="13">
        <f t="shared" si="18"/>
        <v>1.8015313162998554E-2</v>
      </c>
      <c r="O52" s="13">
        <f t="shared" si="18"/>
        <v>4.9746482245869264E-2</v>
      </c>
      <c r="P52" s="13">
        <f t="shared" si="18"/>
        <v>3.4040164705308587E-2</v>
      </c>
      <c r="Q52" s="1"/>
      <c r="R52" s="1"/>
      <c r="S52" s="1"/>
      <c r="T52" s="1"/>
    </row>
    <row r="53" spans="1:20" x14ac:dyDescent="0.2">
      <c r="A53" s="1"/>
      <c r="B53" s="6" t="s">
        <v>16</v>
      </c>
      <c r="C53" s="13">
        <f t="shared" ref="C53:P53" si="19">SQRT((C23-C22)^2 + C$37)</f>
        <v>1.7045177830683E-2</v>
      </c>
      <c r="D53" s="13">
        <f t="shared" si="19"/>
        <v>4.5490979355346899E-2</v>
      </c>
      <c r="E53" s="13">
        <f t="shared" si="19"/>
        <v>7.8569866810381153E-2</v>
      </c>
      <c r="F53" s="13">
        <f t="shared" si="19"/>
        <v>4.3059756780514657E-2</v>
      </c>
      <c r="G53" s="13">
        <f t="shared" si="19"/>
        <v>2.2029940269992873E-2</v>
      </c>
      <c r="H53" s="13">
        <f t="shared" si="19"/>
        <v>4.3407690701551829E-2</v>
      </c>
      <c r="I53" s="13">
        <f t="shared" si="19"/>
        <v>2.4063780466846582E-2</v>
      </c>
      <c r="J53" s="13">
        <f t="shared" si="19"/>
        <v>2.1507365216833049E-2</v>
      </c>
      <c r="K53" s="13">
        <f t="shared" si="19"/>
        <v>2.2682460292669831E-2</v>
      </c>
      <c r="L53" s="13">
        <f t="shared" si="19"/>
        <v>3.727557990094843E-2</v>
      </c>
      <c r="M53" s="13">
        <f t="shared" si="19"/>
        <v>1.9107970052230618E-2</v>
      </c>
      <c r="N53" s="13">
        <f t="shared" si="19"/>
        <v>2.848484990460215E-2</v>
      </c>
      <c r="O53" s="13">
        <f t="shared" si="19"/>
        <v>3.1846616753717708E-2</v>
      </c>
      <c r="P53" s="13">
        <f t="shared" si="19"/>
        <v>6.6364904766574973E-2</v>
      </c>
      <c r="Q53" s="1"/>
      <c r="R53" s="1"/>
      <c r="S53" s="1"/>
      <c r="T53" s="1"/>
    </row>
    <row r="54" spans="1:20" x14ac:dyDescent="0.2">
      <c r="A54" s="1"/>
      <c r="B54" s="6" t="s">
        <v>17</v>
      </c>
      <c r="C54" s="13">
        <f t="shared" ref="C54:P54" si="20">SQRT((C24-C23)^2 + C$37)</f>
        <v>4.8545378665316288E-2</v>
      </c>
      <c r="D54" s="13">
        <f t="shared" si="20"/>
        <v>7.6467031984289655E-2</v>
      </c>
      <c r="E54" s="13">
        <f t="shared" si="20"/>
        <v>4.3229807507117253E-2</v>
      </c>
      <c r="F54" s="13">
        <f t="shared" si="20"/>
        <v>8.4037343224880531E-2</v>
      </c>
      <c r="G54" s="13">
        <f t="shared" si="20"/>
        <v>2.4630285968302239E-2</v>
      </c>
      <c r="H54" s="13">
        <f t="shared" si="20"/>
        <v>3.3637339960676617E-2</v>
      </c>
      <c r="I54" s="13">
        <f t="shared" si="20"/>
        <v>2.4063780466846582E-2</v>
      </c>
      <c r="J54" s="13">
        <f t="shared" si="20"/>
        <v>4.4624645799036723E-2</v>
      </c>
      <c r="K54" s="13">
        <f t="shared" si="20"/>
        <v>5.1732531905994528E-2</v>
      </c>
      <c r="L54" s="13">
        <f t="shared" si="20"/>
        <v>5.6701858244924443E-2</v>
      </c>
      <c r="M54" s="13">
        <f t="shared" si="20"/>
        <v>5.4420297102520158E-2</v>
      </c>
      <c r="N54" s="13">
        <f t="shared" si="20"/>
        <v>1.4242286225504948E-2</v>
      </c>
      <c r="O54" s="13">
        <f t="shared" si="20"/>
        <v>3.7139377659746495E-2</v>
      </c>
      <c r="P54" s="13">
        <f t="shared" si="20"/>
        <v>4.6177950849059388E-2</v>
      </c>
      <c r="Q54" s="1"/>
      <c r="R54" s="1"/>
      <c r="S54" s="1"/>
      <c r="T54" s="1"/>
    </row>
    <row r="55" spans="1:20" x14ac:dyDescent="0.2">
      <c r="A55" s="1"/>
      <c r="B55" s="6" t="s">
        <v>18</v>
      </c>
      <c r="C55" s="13">
        <f t="shared" ref="C55:P55" si="21">SQRT((C25-C24)^2 + C$37)</f>
        <v>1.7967224191033151E-2</v>
      </c>
      <c r="D55" s="13">
        <f t="shared" si="21"/>
        <v>2.2668781333654485E-2</v>
      </c>
      <c r="E55" s="13">
        <f t="shared" si="21"/>
        <v>4.3229807507117253E-2</v>
      </c>
      <c r="F55" s="13">
        <f t="shared" si="21"/>
        <v>5.8286301953538726E-2</v>
      </c>
      <c r="G55" s="13">
        <f t="shared" si="21"/>
        <v>6.7002223705403291E-2</v>
      </c>
      <c r="H55" s="13">
        <f t="shared" si="21"/>
        <v>2.6073290091265008E-2</v>
      </c>
      <c r="I55" s="13">
        <f t="shared" si="21"/>
        <v>9.4040035837264238E-2</v>
      </c>
      <c r="J55" s="13">
        <f t="shared" si="21"/>
        <v>2.8750041988020086E-2</v>
      </c>
      <c r="K55" s="13">
        <f t="shared" si="21"/>
        <v>3.2226654214989041E-2</v>
      </c>
      <c r="L55" s="13">
        <f t="shared" si="21"/>
        <v>3.9903844960999593E-2</v>
      </c>
      <c r="M55" s="13">
        <f t="shared" si="21"/>
        <v>1.9107970052230618E-2</v>
      </c>
      <c r="N55" s="13">
        <f t="shared" si="21"/>
        <v>1.2738646701487078E-2</v>
      </c>
      <c r="O55" s="13">
        <f t="shared" si="21"/>
        <v>6.0088777786436939E-2</v>
      </c>
      <c r="P55" s="13">
        <f t="shared" si="21"/>
        <v>3.3438947591403589E-2</v>
      </c>
      <c r="Q55" s="1"/>
      <c r="R55" s="1"/>
      <c r="S55" s="1"/>
      <c r="T55" s="1"/>
    </row>
    <row r="56" spans="1:20" x14ac:dyDescent="0.2">
      <c r="A56" s="1"/>
      <c r="B56" s="6" t="s">
        <v>19</v>
      </c>
      <c r="C56" s="13">
        <f t="shared" ref="C56:P56" si="22">SQRT((C26-C25)^2 + C$37)</f>
        <v>0.12615679960778811</v>
      </c>
      <c r="D56" s="13">
        <f t="shared" si="22"/>
        <v>0.13508222303651349</v>
      </c>
      <c r="E56" s="13">
        <f t="shared" si="22"/>
        <v>8.5897951840428921E-2</v>
      </c>
      <c r="F56" s="13">
        <f t="shared" si="22"/>
        <v>7.324486112166613E-2</v>
      </c>
      <c r="G56" s="13">
        <f t="shared" si="22"/>
        <v>0.15397532466172068</v>
      </c>
      <c r="H56" s="13">
        <f t="shared" si="22"/>
        <v>9.4856633934215992E-2</v>
      </c>
      <c r="I56" s="13">
        <f t="shared" si="22"/>
        <v>7.86386032899489E-2</v>
      </c>
      <c r="J56" s="13">
        <f t="shared" si="22"/>
        <v>8.6321094460332509E-2</v>
      </c>
      <c r="K56" s="13">
        <f t="shared" si="22"/>
        <v>6.9083339563605697E-2</v>
      </c>
      <c r="L56" s="13">
        <f t="shared" si="22"/>
        <v>0.13826924028444088</v>
      </c>
      <c r="M56" s="13">
        <f t="shared" si="22"/>
        <v>9.7433433055058277E-2</v>
      </c>
      <c r="N56" s="13">
        <f t="shared" si="22"/>
        <v>0.10902699984119765</v>
      </c>
      <c r="O56" s="13">
        <f t="shared" si="22"/>
        <v>0.13749690665290704</v>
      </c>
      <c r="P56" s="13">
        <f t="shared" si="22"/>
        <v>0.18145172188997966</v>
      </c>
      <c r="Q56" s="1"/>
      <c r="R56" s="1"/>
      <c r="S56" s="1"/>
      <c r="T56" s="1"/>
    </row>
    <row r="57" spans="1:2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1"/>
      <c r="B60" s="6" t="s">
        <v>34</v>
      </c>
      <c r="C60" s="13">
        <f t="shared" ref="C60:P60" si="23">SUM(C49:C56)</f>
        <v>0.33589642975259137</v>
      </c>
      <c r="D60" s="13">
        <f t="shared" si="23"/>
        <v>0.38301628177417885</v>
      </c>
      <c r="E60" s="13">
        <f t="shared" si="23"/>
        <v>0.4083785762306148</v>
      </c>
      <c r="F60" s="13">
        <f t="shared" si="23"/>
        <v>0.50091265281028308</v>
      </c>
      <c r="G60" s="13">
        <f t="shared" si="23"/>
        <v>0.47138821697831856</v>
      </c>
      <c r="H60" s="13">
        <f t="shared" si="23"/>
        <v>0.33713571152305905</v>
      </c>
      <c r="I60" s="13">
        <f t="shared" si="23"/>
        <v>0.39092112529056855</v>
      </c>
      <c r="J60" s="13">
        <f t="shared" si="23"/>
        <v>0.30279754505220513</v>
      </c>
      <c r="K60" s="13">
        <f t="shared" si="23"/>
        <v>0.27587343293842331</v>
      </c>
      <c r="L60" s="13">
        <f t="shared" si="23"/>
        <v>0.52319420439699904</v>
      </c>
      <c r="M60" s="13">
        <f t="shared" si="23"/>
        <v>0.29101259434087173</v>
      </c>
      <c r="N60" s="13">
        <f t="shared" si="23"/>
        <v>0.24645376907055022</v>
      </c>
      <c r="O60" s="13">
        <f t="shared" si="23"/>
        <v>0.4589695962783733</v>
      </c>
      <c r="P60" s="13">
        <f t="shared" si="23"/>
        <v>0.52623160200822272</v>
      </c>
      <c r="Q60" s="1"/>
      <c r="R60" s="1"/>
      <c r="S60" s="1"/>
      <c r="T60" s="1"/>
    </row>
    <row r="61" spans="1:2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33" t="s">
        <v>98</v>
      </c>
      <c r="B62" s="3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1"/>
      <c r="B64" s="1"/>
      <c r="C64" s="6" t="s">
        <v>3</v>
      </c>
      <c r="D64" s="6" t="s">
        <v>4</v>
      </c>
      <c r="E64" s="6" t="s">
        <v>5</v>
      </c>
      <c r="F64" s="6" t="s">
        <v>6</v>
      </c>
      <c r="G64" s="6" t="s">
        <v>7</v>
      </c>
      <c r="H64" s="6" t="s">
        <v>8</v>
      </c>
      <c r="I64" s="6" t="s">
        <v>9</v>
      </c>
      <c r="J64" s="6" t="s">
        <v>10</v>
      </c>
      <c r="K64" s="6" t="s">
        <v>11</v>
      </c>
      <c r="L64" s="6" t="s">
        <v>74</v>
      </c>
      <c r="M64" s="6" t="s">
        <v>75</v>
      </c>
      <c r="N64" s="6" t="s">
        <v>76</v>
      </c>
      <c r="O64" s="6" t="s">
        <v>77</v>
      </c>
      <c r="P64" s="27" t="s">
        <v>78</v>
      </c>
      <c r="Q64" s="6" t="s">
        <v>35</v>
      </c>
      <c r="R64" s="1"/>
      <c r="S64" s="1"/>
      <c r="T64" s="1"/>
    </row>
    <row r="65" spans="1:20" x14ac:dyDescent="0.2">
      <c r="A65" s="1"/>
      <c r="B65" s="6" t="s">
        <v>37</v>
      </c>
      <c r="C65" s="13">
        <f t="shared" ref="C65:P65" si="24">C60/C42</f>
        <v>4.0077900644771083E-2</v>
      </c>
      <c r="D65" s="13">
        <f t="shared" si="24"/>
        <v>5.8089859693535577E-2</v>
      </c>
      <c r="E65" s="13">
        <f t="shared" si="24"/>
        <v>5.9554242218342331E-2</v>
      </c>
      <c r="F65" s="13">
        <f t="shared" si="24"/>
        <v>0.13611535897492014</v>
      </c>
      <c r="G65" s="13">
        <f t="shared" si="24"/>
        <v>6.5018008895650001E-2</v>
      </c>
      <c r="H65" s="13">
        <f t="shared" si="24"/>
        <v>5.429244638169297E-2</v>
      </c>
      <c r="I65" s="13">
        <f t="shared" si="24"/>
        <v>6.5849280971914087E-2</v>
      </c>
      <c r="J65" s="13">
        <f t="shared" si="24"/>
        <v>4.4374781903190726E-2</v>
      </c>
      <c r="K65" s="13">
        <f t="shared" si="24"/>
        <v>4.2862816517360562E-2</v>
      </c>
      <c r="L65" s="13">
        <f t="shared" si="24"/>
        <v>0.12829713292702055</v>
      </c>
      <c r="M65" s="13">
        <f t="shared" si="24"/>
        <v>3.452635746496361E-2</v>
      </c>
      <c r="N65" s="13">
        <f t="shared" si="24"/>
        <v>2.1976412447077362E-2</v>
      </c>
      <c r="O65" s="13">
        <f t="shared" si="24"/>
        <v>9.3939620402808191E-2</v>
      </c>
      <c r="P65" s="28">
        <f t="shared" si="24"/>
        <v>0.1012497247412678</v>
      </c>
      <c r="Q65" s="13">
        <f>SUM(C65:P65)</f>
        <v>0.94622394418451516</v>
      </c>
      <c r="R65" s="1" t="s">
        <v>40</v>
      </c>
      <c r="S65" s="1"/>
      <c r="T65" s="1"/>
    </row>
    <row r="66" spans="1:2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33" t="s">
        <v>38</v>
      </c>
      <c r="B68" s="3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1"/>
      <c r="B70" s="1"/>
      <c r="C70" s="6" t="s">
        <v>79</v>
      </c>
      <c r="D70" s="6" t="s">
        <v>80</v>
      </c>
      <c r="E70" s="6" t="s">
        <v>81</v>
      </c>
      <c r="F70" s="6" t="s">
        <v>83</v>
      </c>
      <c r="G70" s="6" t="s">
        <v>85</v>
      </c>
      <c r="H70" s="6" t="s">
        <v>84</v>
      </c>
      <c r="I70" s="6" t="s">
        <v>86</v>
      </c>
      <c r="J70" s="6" t="s">
        <v>87</v>
      </c>
      <c r="K70" s="6" t="s">
        <v>88</v>
      </c>
      <c r="L70" s="6" t="s">
        <v>89</v>
      </c>
      <c r="M70" s="6" t="s">
        <v>90</v>
      </c>
      <c r="N70" s="6" t="s">
        <v>91</v>
      </c>
      <c r="O70" s="6" t="s">
        <v>92</v>
      </c>
      <c r="P70" s="27" t="s">
        <v>93</v>
      </c>
      <c r="Q70" s="6" t="s">
        <v>35</v>
      </c>
      <c r="R70" s="1"/>
      <c r="S70" s="1"/>
      <c r="T70" s="1"/>
    </row>
    <row r="71" spans="1:20" x14ac:dyDescent="0.2">
      <c r="A71" s="1"/>
      <c r="B71" s="6" t="s">
        <v>39</v>
      </c>
      <c r="C71" s="13">
        <f t="shared" ref="C71:P71" si="25">C65/$Q$65</f>
        <v>4.2355618763496257E-2</v>
      </c>
      <c r="D71" s="13">
        <f t="shared" si="25"/>
        <v>6.1391238353833033E-2</v>
      </c>
      <c r="E71" s="13">
        <f t="shared" si="25"/>
        <v>6.2938845063435805E-2</v>
      </c>
      <c r="F71" s="13">
        <f t="shared" si="25"/>
        <v>0.14385110397119419</v>
      </c>
      <c r="G71" s="13">
        <f t="shared" si="25"/>
        <v>6.8713130010342863E-2</v>
      </c>
      <c r="H71" s="13">
        <f t="shared" si="25"/>
        <v>5.7378009418778624E-2</v>
      </c>
      <c r="I71" s="13">
        <f t="shared" si="25"/>
        <v>6.9591645166689392E-2</v>
      </c>
      <c r="J71" s="13">
        <f t="shared" si="25"/>
        <v>4.6896701542925204E-2</v>
      </c>
      <c r="K71" s="13">
        <f t="shared" si="25"/>
        <v>4.5298807730236687E-2</v>
      </c>
      <c r="L71" s="13">
        <f t="shared" si="25"/>
        <v>0.13558855038020726</v>
      </c>
      <c r="M71" s="13">
        <f t="shared" si="25"/>
        <v>3.6488568776094001E-2</v>
      </c>
      <c r="N71" s="13">
        <f t="shared" si="25"/>
        <v>2.3225381879357649E-2</v>
      </c>
      <c r="O71" s="13">
        <f t="shared" si="25"/>
        <v>9.9278422386328682E-2</v>
      </c>
      <c r="P71" s="13">
        <f t="shared" si="25"/>
        <v>0.10700397655708017</v>
      </c>
      <c r="Q71" s="13">
        <f>SUM(C71:P71)</f>
        <v>0.99999999999999967</v>
      </c>
      <c r="R71" s="1" t="s">
        <v>97</v>
      </c>
      <c r="S71" s="1"/>
      <c r="T71" s="1"/>
    </row>
    <row r="72" spans="1:20" x14ac:dyDescent="0.2">
      <c r="A72" s="1"/>
      <c r="B72" s="9" t="s">
        <v>96</v>
      </c>
      <c r="C72" s="14">
        <v>12</v>
      </c>
      <c r="D72" s="14">
        <v>8</v>
      </c>
      <c r="E72" s="14">
        <v>7</v>
      </c>
      <c r="F72" s="14">
        <v>1</v>
      </c>
      <c r="G72" s="14">
        <v>6</v>
      </c>
      <c r="H72" s="14">
        <v>9</v>
      </c>
      <c r="I72" s="14">
        <v>5</v>
      </c>
      <c r="J72" s="14">
        <v>10</v>
      </c>
      <c r="K72" s="14">
        <v>11</v>
      </c>
      <c r="L72" s="14">
        <v>2</v>
      </c>
      <c r="M72" s="14">
        <v>13</v>
      </c>
      <c r="N72" s="14">
        <v>14</v>
      </c>
      <c r="O72" s="14">
        <v>4</v>
      </c>
      <c r="P72" s="14">
        <v>3</v>
      </c>
      <c r="Q72" s="1"/>
      <c r="R72" s="1"/>
      <c r="S72" s="1"/>
      <c r="T72" s="1"/>
    </row>
    <row r="73" spans="1:2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9" x14ac:dyDescent="0.25">
      <c r="A75" s="29" t="s">
        <v>42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A76" s="33" t="s">
        <v>0</v>
      </c>
      <c r="B76" s="3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A77" s="19"/>
      <c r="B77" s="19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A78" s="1"/>
      <c r="B78" s="4" t="s">
        <v>2</v>
      </c>
      <c r="C78" s="4" t="s">
        <v>3</v>
      </c>
      <c r="D78" s="4" t="s">
        <v>4</v>
      </c>
      <c r="E78" s="4" t="s">
        <v>5</v>
      </c>
      <c r="F78" s="4" t="s">
        <v>6</v>
      </c>
      <c r="G78" s="4" t="s">
        <v>7</v>
      </c>
      <c r="H78" s="4" t="s">
        <v>8</v>
      </c>
      <c r="I78" s="4" t="s">
        <v>9</v>
      </c>
      <c r="J78" s="4" t="s">
        <v>10</v>
      </c>
      <c r="K78" s="4" t="s">
        <v>11</v>
      </c>
      <c r="L78" s="4" t="s">
        <v>74</v>
      </c>
      <c r="M78" s="4" t="s">
        <v>75</v>
      </c>
      <c r="N78" s="4" t="s">
        <v>76</v>
      </c>
      <c r="O78" s="4" t="s">
        <v>77</v>
      </c>
      <c r="P78" s="4" t="s">
        <v>78</v>
      </c>
      <c r="Q78" s="1"/>
      <c r="R78" s="1"/>
      <c r="S78" s="1"/>
      <c r="T78" s="1"/>
    </row>
    <row r="79" spans="1:20" x14ac:dyDescent="0.2">
      <c r="A79" s="1"/>
      <c r="B79" s="4" t="s">
        <v>12</v>
      </c>
      <c r="C79" s="13">
        <v>26</v>
      </c>
      <c r="D79" s="13">
        <v>23</v>
      </c>
      <c r="E79" s="13">
        <v>18</v>
      </c>
      <c r="F79" s="13">
        <v>7</v>
      </c>
      <c r="G79" s="13">
        <v>25</v>
      </c>
      <c r="H79" s="13">
        <v>22</v>
      </c>
      <c r="I79" s="13">
        <v>13</v>
      </c>
      <c r="J79" s="13">
        <v>34</v>
      </c>
      <c r="K79" s="13">
        <v>30</v>
      </c>
      <c r="L79" s="13">
        <v>7</v>
      </c>
      <c r="M79" s="13">
        <v>26</v>
      </c>
      <c r="N79" s="13">
        <v>24</v>
      </c>
      <c r="O79" s="13">
        <v>33</v>
      </c>
      <c r="P79" s="13">
        <v>35</v>
      </c>
      <c r="Q79" s="1"/>
      <c r="R79" s="1"/>
      <c r="S79" s="1"/>
      <c r="T79" s="1"/>
    </row>
    <row r="80" spans="1:20" x14ac:dyDescent="0.2">
      <c r="A80" s="1"/>
      <c r="B80" s="4" t="s">
        <v>13</v>
      </c>
      <c r="C80" s="13">
        <v>27</v>
      </c>
      <c r="D80" s="13">
        <v>22</v>
      </c>
      <c r="E80" s="13">
        <v>14</v>
      </c>
      <c r="F80" s="13">
        <v>9</v>
      </c>
      <c r="G80" s="13">
        <v>34</v>
      </c>
      <c r="H80" s="13">
        <v>23</v>
      </c>
      <c r="I80" s="13">
        <v>13</v>
      </c>
      <c r="J80" s="13">
        <v>24</v>
      </c>
      <c r="K80" s="13">
        <v>30</v>
      </c>
      <c r="L80" s="13">
        <v>18</v>
      </c>
      <c r="M80" s="13">
        <v>24</v>
      </c>
      <c r="N80" s="13">
        <v>22</v>
      </c>
      <c r="O80" s="13">
        <v>30</v>
      </c>
      <c r="P80" s="13">
        <v>29</v>
      </c>
      <c r="Q80" s="1"/>
      <c r="R80" s="1"/>
      <c r="S80" s="1"/>
      <c r="T80" s="1"/>
    </row>
    <row r="81" spans="1:20" x14ac:dyDescent="0.2">
      <c r="A81" s="1"/>
      <c r="B81" s="4" t="s">
        <v>14</v>
      </c>
      <c r="C81" s="13">
        <v>23</v>
      </c>
      <c r="D81" s="13">
        <v>19</v>
      </c>
      <c r="E81" s="13">
        <v>22</v>
      </c>
      <c r="F81" s="13">
        <v>26</v>
      </c>
      <c r="G81" s="13">
        <v>21</v>
      </c>
      <c r="H81" s="13">
        <v>26</v>
      </c>
      <c r="I81" s="13">
        <v>28</v>
      </c>
      <c r="J81" s="13">
        <v>25</v>
      </c>
      <c r="K81" s="13">
        <v>29</v>
      </c>
      <c r="L81" s="13">
        <v>22</v>
      </c>
      <c r="M81" s="13">
        <v>24</v>
      </c>
      <c r="N81" s="13">
        <v>19</v>
      </c>
      <c r="O81" s="13">
        <v>20</v>
      </c>
      <c r="P81" s="13">
        <v>19</v>
      </c>
      <c r="Q81" s="1"/>
      <c r="R81" s="1"/>
      <c r="S81" s="1"/>
      <c r="T81" s="1"/>
    </row>
    <row r="82" spans="1:20" x14ac:dyDescent="0.2">
      <c r="A82" s="1"/>
      <c r="B82" s="4" t="s">
        <v>15</v>
      </c>
      <c r="C82" s="13">
        <v>25</v>
      </c>
      <c r="D82" s="13">
        <v>19</v>
      </c>
      <c r="E82" s="13">
        <v>19</v>
      </c>
      <c r="F82" s="13">
        <v>31</v>
      </c>
      <c r="G82" s="13">
        <v>30</v>
      </c>
      <c r="H82" s="13">
        <v>28</v>
      </c>
      <c r="I82" s="13">
        <v>26</v>
      </c>
      <c r="J82" s="13">
        <v>25</v>
      </c>
      <c r="K82" s="13">
        <v>33</v>
      </c>
      <c r="L82" s="13">
        <v>29</v>
      </c>
      <c r="M82" s="13">
        <v>27</v>
      </c>
      <c r="N82" s="13">
        <v>22</v>
      </c>
      <c r="O82" s="13">
        <v>22</v>
      </c>
      <c r="P82" s="13">
        <v>15</v>
      </c>
      <c r="Q82" s="1"/>
      <c r="R82" s="1"/>
      <c r="S82" s="1"/>
      <c r="T82" s="1"/>
    </row>
    <row r="83" spans="1:20" x14ac:dyDescent="0.2">
      <c r="A83" s="1"/>
      <c r="B83" s="4" t="s">
        <v>16</v>
      </c>
      <c r="C83" s="13">
        <v>15</v>
      </c>
      <c r="D83" s="13">
        <v>16</v>
      </c>
      <c r="E83" s="13">
        <v>21</v>
      </c>
      <c r="F83" s="13">
        <v>32</v>
      </c>
      <c r="G83" s="13">
        <v>23</v>
      </c>
      <c r="H83" s="13">
        <v>19</v>
      </c>
      <c r="I83" s="13">
        <v>31</v>
      </c>
      <c r="J83" s="13">
        <v>28</v>
      </c>
      <c r="K83" s="13">
        <v>30</v>
      </c>
      <c r="L83" s="13">
        <v>19</v>
      </c>
      <c r="M83" s="13">
        <v>23</v>
      </c>
      <c r="N83" s="13">
        <v>20</v>
      </c>
      <c r="O83" s="13">
        <v>16</v>
      </c>
      <c r="P83" s="13">
        <v>14</v>
      </c>
      <c r="Q83" s="1"/>
      <c r="R83" s="1"/>
      <c r="S83" s="1"/>
      <c r="T83" s="1"/>
    </row>
    <row r="84" spans="1:20" x14ac:dyDescent="0.2">
      <c r="A84" s="1"/>
      <c r="B84" s="4" t="s">
        <v>17</v>
      </c>
      <c r="C84" s="13">
        <v>15</v>
      </c>
      <c r="D84" s="13">
        <v>10</v>
      </c>
      <c r="E84" s="13">
        <v>11</v>
      </c>
      <c r="F84" s="13">
        <v>29</v>
      </c>
      <c r="G84" s="13">
        <v>21</v>
      </c>
      <c r="H84" s="13">
        <v>13</v>
      </c>
      <c r="I84" s="13">
        <v>31</v>
      </c>
      <c r="J84" s="13">
        <v>29</v>
      </c>
      <c r="K84" s="13">
        <v>29</v>
      </c>
      <c r="L84" s="13">
        <v>17</v>
      </c>
      <c r="M84" s="13">
        <v>23</v>
      </c>
      <c r="N84" s="13">
        <v>16</v>
      </c>
      <c r="O84" s="13">
        <v>16</v>
      </c>
      <c r="P84" s="13">
        <v>23</v>
      </c>
      <c r="Q84" s="1"/>
      <c r="R84" s="1"/>
      <c r="S84" s="1"/>
      <c r="T84" s="1"/>
    </row>
    <row r="85" spans="1:20" x14ac:dyDescent="0.2">
      <c r="A85" s="1"/>
      <c r="B85" s="4" t="s">
        <v>18</v>
      </c>
      <c r="C85" s="13">
        <v>23</v>
      </c>
      <c r="D85" s="13">
        <v>21</v>
      </c>
      <c r="E85" s="13">
        <v>16</v>
      </c>
      <c r="F85" s="30">
        <v>17</v>
      </c>
      <c r="G85" s="13">
        <v>18</v>
      </c>
      <c r="H85" s="13">
        <v>17</v>
      </c>
      <c r="I85" s="13">
        <v>31</v>
      </c>
      <c r="J85" s="13">
        <v>21</v>
      </c>
      <c r="K85" s="13">
        <v>19</v>
      </c>
      <c r="L85" s="13">
        <v>24</v>
      </c>
      <c r="M85" s="13">
        <v>15</v>
      </c>
      <c r="N85" s="13">
        <v>17</v>
      </c>
      <c r="O85" s="13">
        <v>13</v>
      </c>
      <c r="P85" s="13">
        <v>28</v>
      </c>
      <c r="Q85" s="1"/>
      <c r="R85" s="1"/>
      <c r="S85" s="1"/>
      <c r="T85" s="1"/>
    </row>
    <row r="86" spans="1:20" x14ac:dyDescent="0.2">
      <c r="A86" s="1"/>
      <c r="B86" s="4" t="s">
        <v>19</v>
      </c>
      <c r="C86" s="13">
        <v>22</v>
      </c>
      <c r="D86" s="13">
        <v>20</v>
      </c>
      <c r="E86" s="13">
        <v>11</v>
      </c>
      <c r="F86" s="13">
        <v>10</v>
      </c>
      <c r="G86" s="13">
        <v>31</v>
      </c>
      <c r="H86" s="13">
        <v>15</v>
      </c>
      <c r="I86" s="13">
        <v>14</v>
      </c>
      <c r="J86" s="13">
        <v>17</v>
      </c>
      <c r="K86" s="13">
        <v>14</v>
      </c>
      <c r="L86" s="13">
        <v>21</v>
      </c>
      <c r="M86" s="13">
        <v>15</v>
      </c>
      <c r="N86" s="13">
        <v>17</v>
      </c>
      <c r="O86" s="13">
        <v>21</v>
      </c>
      <c r="P86" s="13">
        <v>28</v>
      </c>
      <c r="Q86" s="1"/>
      <c r="R86" s="1"/>
      <c r="S86" s="1"/>
      <c r="T86" s="1"/>
    </row>
    <row r="87" spans="1:2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33" t="s">
        <v>43</v>
      </c>
      <c r="B88" s="3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1"/>
      <c r="B90" s="1"/>
      <c r="C90" s="31" t="s">
        <v>3</v>
      </c>
      <c r="D90" s="31" t="s">
        <v>4</v>
      </c>
      <c r="E90" s="31" t="s">
        <v>5</v>
      </c>
      <c r="F90" s="31" t="s">
        <v>6</v>
      </c>
      <c r="G90" s="31" t="s">
        <v>7</v>
      </c>
      <c r="H90" s="31" t="s">
        <v>8</v>
      </c>
      <c r="I90" s="31" t="s">
        <v>9</v>
      </c>
      <c r="J90" s="31" t="s">
        <v>10</v>
      </c>
      <c r="K90" s="31" t="s">
        <v>11</v>
      </c>
      <c r="L90" s="31" t="s">
        <v>74</v>
      </c>
      <c r="M90" s="31" t="s">
        <v>75</v>
      </c>
      <c r="N90" s="31" t="s">
        <v>76</v>
      </c>
      <c r="O90" s="31" t="s">
        <v>77</v>
      </c>
      <c r="P90" s="31" t="s">
        <v>78</v>
      </c>
      <c r="Q90" s="1"/>
      <c r="R90" s="4" t="s">
        <v>25</v>
      </c>
      <c r="S90" s="4" t="s">
        <v>46</v>
      </c>
      <c r="T90" s="1"/>
    </row>
    <row r="91" spans="1:20" x14ac:dyDescent="0.2">
      <c r="A91" s="1"/>
      <c r="B91" s="4" t="s">
        <v>22</v>
      </c>
      <c r="C91" s="13">
        <f t="shared" ref="C91:P91" si="26">MAX(C79:C86)</f>
        <v>27</v>
      </c>
      <c r="D91" s="13">
        <f t="shared" si="26"/>
        <v>23</v>
      </c>
      <c r="E91" s="13">
        <f t="shared" si="26"/>
        <v>22</v>
      </c>
      <c r="F91" s="13">
        <f t="shared" si="26"/>
        <v>32</v>
      </c>
      <c r="G91" s="13">
        <f t="shared" si="26"/>
        <v>34</v>
      </c>
      <c r="H91" s="13">
        <f t="shared" si="26"/>
        <v>28</v>
      </c>
      <c r="I91" s="13">
        <f t="shared" si="26"/>
        <v>31</v>
      </c>
      <c r="J91" s="13">
        <f t="shared" si="26"/>
        <v>34</v>
      </c>
      <c r="K91" s="13">
        <f t="shared" si="26"/>
        <v>33</v>
      </c>
      <c r="L91" s="13">
        <f t="shared" si="26"/>
        <v>29</v>
      </c>
      <c r="M91" s="13">
        <f t="shared" si="26"/>
        <v>27</v>
      </c>
      <c r="N91" s="13">
        <f t="shared" si="26"/>
        <v>24</v>
      </c>
      <c r="O91" s="13">
        <f t="shared" si="26"/>
        <v>33</v>
      </c>
      <c r="P91" s="13">
        <f t="shared" si="26"/>
        <v>35</v>
      </c>
      <c r="Q91" s="1"/>
      <c r="R91" s="14">
        <v>8</v>
      </c>
      <c r="S91" s="13">
        <f>1/R91</f>
        <v>0.125</v>
      </c>
      <c r="T91" s="1"/>
    </row>
    <row r="92" spans="1:20" x14ac:dyDescent="0.2">
      <c r="A92" s="1"/>
      <c r="B92" s="4" t="s">
        <v>26</v>
      </c>
      <c r="C92" s="13">
        <f t="shared" ref="C92:P92" si="27">MIN(C79:C86)</f>
        <v>15</v>
      </c>
      <c r="D92" s="13">
        <f t="shared" si="27"/>
        <v>10</v>
      </c>
      <c r="E92" s="13">
        <f t="shared" si="27"/>
        <v>11</v>
      </c>
      <c r="F92" s="13">
        <f t="shared" si="27"/>
        <v>7</v>
      </c>
      <c r="G92" s="13">
        <f t="shared" si="27"/>
        <v>18</v>
      </c>
      <c r="H92" s="13">
        <f t="shared" si="27"/>
        <v>13</v>
      </c>
      <c r="I92" s="13">
        <f t="shared" si="27"/>
        <v>13</v>
      </c>
      <c r="J92" s="13">
        <f t="shared" si="27"/>
        <v>17</v>
      </c>
      <c r="K92" s="13">
        <f t="shared" si="27"/>
        <v>14</v>
      </c>
      <c r="L92" s="13">
        <f t="shared" si="27"/>
        <v>7</v>
      </c>
      <c r="M92" s="13">
        <f t="shared" si="27"/>
        <v>15</v>
      </c>
      <c r="N92" s="13">
        <f t="shared" si="27"/>
        <v>16</v>
      </c>
      <c r="O92" s="13">
        <f t="shared" si="27"/>
        <v>13</v>
      </c>
      <c r="P92" s="13">
        <f t="shared" si="27"/>
        <v>14</v>
      </c>
      <c r="Q92" s="1"/>
      <c r="R92" s="1"/>
      <c r="S92" s="1"/>
      <c r="T92" s="1"/>
    </row>
    <row r="93" spans="1:2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1"/>
      <c r="B94" s="4" t="s">
        <v>44</v>
      </c>
      <c r="C94" s="13">
        <f t="shared" ref="C94:K94" si="28">C91+(C91^$S$91)</f>
        <v>28.509803648477106</v>
      </c>
      <c r="D94" s="13">
        <f t="shared" si="28"/>
        <v>24.479844148244958</v>
      </c>
      <c r="E94" s="13">
        <f t="shared" si="28"/>
        <v>23.471644240524181</v>
      </c>
      <c r="F94" s="13">
        <f t="shared" si="28"/>
        <v>33.542210825407942</v>
      </c>
      <c r="G94" s="13">
        <f t="shared" si="28"/>
        <v>35.553942213457894</v>
      </c>
      <c r="H94" s="13">
        <f t="shared" si="28"/>
        <v>29.5166827729592</v>
      </c>
      <c r="I94" s="13">
        <f t="shared" si="28"/>
        <v>32.536102555746382</v>
      </c>
      <c r="J94" s="13">
        <f t="shared" si="28"/>
        <v>35.553942213457894</v>
      </c>
      <c r="K94" s="13">
        <f t="shared" si="28"/>
        <v>34.548154296873676</v>
      </c>
      <c r="L94" s="13">
        <f t="shared" ref="L94:O94" si="29">L91+(L91^$S$91)</f>
        <v>30.523350185317245</v>
      </c>
      <c r="M94" s="13">
        <f t="shared" si="29"/>
        <v>28.509803648477106</v>
      </c>
      <c r="N94" s="13">
        <f t="shared" si="29"/>
        <v>25.487737826164491</v>
      </c>
      <c r="O94" s="13">
        <f t="shared" si="29"/>
        <v>34.548154296873676</v>
      </c>
      <c r="P94" s="13">
        <f>P91+(P91^$S$91)</f>
        <v>36.559583046553719</v>
      </c>
      <c r="Q94" s="1"/>
      <c r="R94" s="1"/>
      <c r="S94" s="1"/>
      <c r="T94" s="1"/>
    </row>
    <row r="95" spans="1:20" x14ac:dyDescent="0.2">
      <c r="A95" s="1"/>
      <c r="B95" s="4" t="s">
        <v>45</v>
      </c>
      <c r="C95" s="13">
        <f t="shared" ref="C95:K95" si="30">C92-(C92^$S$91)</f>
        <v>13.597149447993326</v>
      </c>
      <c r="D95" s="13">
        <f t="shared" si="30"/>
        <v>8.6664785678366769</v>
      </c>
      <c r="E95" s="13">
        <f t="shared" si="30"/>
        <v>9.6504962812804589</v>
      </c>
      <c r="F95" s="13">
        <f t="shared" si="30"/>
        <v>5.7246268931415454</v>
      </c>
      <c r="G95" s="13">
        <f t="shared" si="30"/>
        <v>16.56481111211551</v>
      </c>
      <c r="H95" s="13">
        <f t="shared" si="30"/>
        <v>11.622019984863371</v>
      </c>
      <c r="I95" s="13">
        <f t="shared" si="30"/>
        <v>11.622019984863371</v>
      </c>
      <c r="J95" s="13">
        <f t="shared" si="30"/>
        <v>15.575028707352695</v>
      </c>
      <c r="K95" s="13">
        <f t="shared" si="30"/>
        <v>12.609195764937542</v>
      </c>
      <c r="L95" s="13">
        <f t="shared" ref="L95:P95" si="31">L92-(L92^$S$91)</f>
        <v>5.7246268931415454</v>
      </c>
      <c r="M95" s="13">
        <f t="shared" si="31"/>
        <v>13.597149447993326</v>
      </c>
      <c r="N95" s="13">
        <f t="shared" si="31"/>
        <v>14.585786437626904</v>
      </c>
      <c r="O95" s="13">
        <f t="shared" si="31"/>
        <v>11.622019984863371</v>
      </c>
      <c r="P95" s="13">
        <f t="shared" si="31"/>
        <v>12.609195764937542</v>
      </c>
      <c r="Q95" s="1"/>
      <c r="R95" s="1"/>
      <c r="S95" s="1"/>
      <c r="T95" s="1"/>
    </row>
    <row r="96" spans="1:2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33" t="s">
        <v>47</v>
      </c>
      <c r="B98" s="33"/>
      <c r="C98" s="33"/>
      <c r="D98" s="4" t="s">
        <v>48</v>
      </c>
      <c r="E98" s="13">
        <v>0</v>
      </c>
      <c r="F98" s="4" t="s">
        <v>49</v>
      </c>
      <c r="G98" s="13">
        <v>100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34" t="s">
        <v>65</v>
      </c>
      <c r="B99" s="34"/>
      <c r="C99" s="3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1"/>
      <c r="B100" s="4" t="s">
        <v>2</v>
      </c>
      <c r="C100" s="4" t="s">
        <v>3</v>
      </c>
      <c r="D100" s="4" t="s">
        <v>4</v>
      </c>
      <c r="E100" s="4" t="s">
        <v>5</v>
      </c>
      <c r="F100" s="4" t="s">
        <v>6</v>
      </c>
      <c r="G100" s="4" t="s">
        <v>7</v>
      </c>
      <c r="H100" s="4" t="s">
        <v>8</v>
      </c>
      <c r="I100" s="4" t="s">
        <v>9</v>
      </c>
      <c r="J100" s="4" t="s">
        <v>10</v>
      </c>
      <c r="K100" s="4" t="s">
        <v>11</v>
      </c>
      <c r="L100" s="4" t="s">
        <v>74</v>
      </c>
      <c r="M100" s="4" t="s">
        <v>75</v>
      </c>
      <c r="N100" s="4" t="s">
        <v>76</v>
      </c>
      <c r="O100" s="4" t="s">
        <v>77</v>
      </c>
      <c r="P100" s="4" t="s">
        <v>78</v>
      </c>
      <c r="Q100" s="1"/>
      <c r="R100" s="1"/>
      <c r="S100" s="1"/>
      <c r="T100" s="1"/>
    </row>
    <row r="101" spans="1:20" x14ac:dyDescent="0.2">
      <c r="A101" s="1"/>
      <c r="B101" s="4" t="s">
        <v>12</v>
      </c>
      <c r="C101" s="13">
        <f t="shared" ref="C101:P101" si="32">(100/(C$94-C$95))*C79+((C$94*0-C$95*100)/(C$94-C$95))</f>
        <v>83.169973535658812</v>
      </c>
      <c r="D101" s="13">
        <f t="shared" si="32"/>
        <v>90.641814098838097</v>
      </c>
      <c r="E101" s="13">
        <f t="shared" si="32"/>
        <v>60.41107253421238</v>
      </c>
      <c r="F101" s="13">
        <f t="shared" si="32"/>
        <v>4.5847731059745769</v>
      </c>
      <c r="G101" s="13">
        <f t="shared" si="32"/>
        <v>44.421141983100995</v>
      </c>
      <c r="H101" s="13">
        <f t="shared" si="32"/>
        <v>57.994834202969372</v>
      </c>
      <c r="I101" s="13">
        <f t="shared" si="32"/>
        <v>6.5887662557815503</v>
      </c>
      <c r="J101" s="13">
        <f t="shared" si="32"/>
        <v>92.222088488530474</v>
      </c>
      <c r="K101" s="13">
        <f t="shared" si="32"/>
        <v>79.269051034245706</v>
      </c>
      <c r="L101" s="13">
        <f t="shared" si="32"/>
        <v>5.1428982525921043</v>
      </c>
      <c r="M101" s="13">
        <f t="shared" si="32"/>
        <v>83.169973535658812</v>
      </c>
      <c r="N101" s="13">
        <f t="shared" si="32"/>
        <v>86.353472207473658</v>
      </c>
      <c r="O101" s="13">
        <f t="shared" si="32"/>
        <v>93.247207419252334</v>
      </c>
      <c r="P101" s="13">
        <f t="shared" si="32"/>
        <v>93.48827629292316</v>
      </c>
      <c r="Q101" s="1"/>
      <c r="R101" s="1"/>
      <c r="S101" s="1"/>
      <c r="T101" s="1"/>
    </row>
    <row r="102" spans="1:20" x14ac:dyDescent="0.2">
      <c r="A102" s="1"/>
      <c r="B102" s="4" t="s">
        <v>13</v>
      </c>
      <c r="C102" s="13">
        <f t="shared" ref="C102:P102" si="33">(100/(C$94-C$95))*C80+((C$94*0-C$95*100)/(C$94-C$95))</f>
        <v>89.875687934692877</v>
      </c>
      <c r="D102" s="13">
        <f t="shared" si="33"/>
        <v>84.318049591433464</v>
      </c>
      <c r="E102" s="13">
        <f t="shared" si="33"/>
        <v>31.469916475429585</v>
      </c>
      <c r="F102" s="13">
        <f t="shared" si="33"/>
        <v>11.774470115139142</v>
      </c>
      <c r="G102" s="13">
        <f t="shared" si="33"/>
        <v>91.816675522620187</v>
      </c>
      <c r="H102" s="13">
        <f t="shared" si="33"/>
        <v>63.583092623045516</v>
      </c>
      <c r="I102" s="13">
        <f t="shared" si="33"/>
        <v>6.5887662557815503</v>
      </c>
      <c r="J102" s="13">
        <f t="shared" si="33"/>
        <v>42.169316615104137</v>
      </c>
      <c r="K102" s="13">
        <f t="shared" si="33"/>
        <v>79.269051034245706</v>
      </c>
      <c r="L102" s="13">
        <f t="shared" si="33"/>
        <v>49.500020473761587</v>
      </c>
      <c r="M102" s="13">
        <f t="shared" si="33"/>
        <v>69.758544737590654</v>
      </c>
      <c r="N102" s="13">
        <f t="shared" si="33"/>
        <v>68.008132655668135</v>
      </c>
      <c r="O102" s="13">
        <f t="shared" si="33"/>
        <v>80.161704389513943</v>
      </c>
      <c r="P102" s="13">
        <f t="shared" si="33"/>
        <v>68.436489324094168</v>
      </c>
      <c r="Q102" s="1"/>
      <c r="R102" s="1"/>
      <c r="S102" s="1"/>
      <c r="T102" s="1"/>
    </row>
    <row r="103" spans="1:20" x14ac:dyDescent="0.2">
      <c r="A103" s="1"/>
      <c r="B103" s="4" t="s">
        <v>14</v>
      </c>
      <c r="C103" s="13">
        <f t="shared" ref="C103:P103" si="34">(100/(C$94-C$95))*C81+((C$94*0-C$95*100)/(C$94-C$95))</f>
        <v>63.052830338556589</v>
      </c>
      <c r="D103" s="13">
        <f t="shared" si="34"/>
        <v>65.346756069219552</v>
      </c>
      <c r="E103" s="13">
        <f t="shared" si="34"/>
        <v>89.352228592995189</v>
      </c>
      <c r="F103" s="13">
        <f t="shared" si="34"/>
        <v>72.886894693037959</v>
      </c>
      <c r="G103" s="13">
        <f t="shared" si="34"/>
        <v>23.356460409981352</v>
      </c>
      <c r="H103" s="13">
        <f t="shared" si="34"/>
        <v>80.347867883273992</v>
      </c>
      <c r="I103" s="13">
        <f t="shared" si="34"/>
        <v>78.310774377157585</v>
      </c>
      <c r="J103" s="13">
        <f t="shared" si="34"/>
        <v>47.174593802446779</v>
      </c>
      <c r="K103" s="13">
        <f t="shared" si="34"/>
        <v>74.71094952480388</v>
      </c>
      <c r="L103" s="13">
        <f t="shared" si="34"/>
        <v>65.629883099641404</v>
      </c>
      <c r="M103" s="13">
        <f t="shared" si="34"/>
        <v>69.758544737590654</v>
      </c>
      <c r="N103" s="13">
        <f t="shared" si="34"/>
        <v>40.490123327959793</v>
      </c>
      <c r="O103" s="13">
        <f t="shared" si="34"/>
        <v>36.543360957052677</v>
      </c>
      <c r="P103" s="13">
        <f t="shared" si="34"/>
        <v>26.683511042712482</v>
      </c>
      <c r="Q103" s="1"/>
      <c r="R103" s="1"/>
      <c r="S103" s="1"/>
      <c r="T103" s="1"/>
    </row>
    <row r="104" spans="1:20" x14ac:dyDescent="0.2">
      <c r="A104" s="1"/>
      <c r="B104" s="4" t="s">
        <v>15</v>
      </c>
      <c r="C104" s="13">
        <f t="shared" ref="C104:P104" si="35">(100/(C$94-C$95))*C82+((C$94*0-C$95*100)/(C$94-C$95))</f>
        <v>76.464259136624747</v>
      </c>
      <c r="D104" s="13">
        <f t="shared" si="35"/>
        <v>65.346756069219552</v>
      </c>
      <c r="E104" s="13">
        <f t="shared" si="35"/>
        <v>67.646361548908104</v>
      </c>
      <c r="F104" s="13">
        <f t="shared" si="35"/>
        <v>90.86113721594937</v>
      </c>
      <c r="G104" s="13">
        <f t="shared" si="35"/>
        <v>70.751993949500559</v>
      </c>
      <c r="H104" s="13">
        <f t="shared" si="35"/>
        <v>91.524384723426309</v>
      </c>
      <c r="I104" s="13">
        <f t="shared" si="35"/>
        <v>68.747839960974105</v>
      </c>
      <c r="J104" s="13">
        <f t="shared" si="35"/>
        <v>47.174593802446779</v>
      </c>
      <c r="K104" s="13">
        <f t="shared" si="35"/>
        <v>92.943355562571213</v>
      </c>
      <c r="L104" s="13">
        <f t="shared" si="35"/>
        <v>93.857142694931071</v>
      </c>
      <c r="M104" s="13">
        <f t="shared" si="35"/>
        <v>89.875687934692877</v>
      </c>
      <c r="N104" s="13">
        <f t="shared" si="35"/>
        <v>68.008132655668135</v>
      </c>
      <c r="O104" s="13">
        <f t="shared" si="35"/>
        <v>45.267029643544923</v>
      </c>
      <c r="P104" s="13">
        <f t="shared" si="35"/>
        <v>9.9823197301598157</v>
      </c>
      <c r="Q104" s="1"/>
      <c r="R104" s="1"/>
      <c r="S104" s="1"/>
      <c r="T104" s="1"/>
    </row>
    <row r="105" spans="1:20" x14ac:dyDescent="0.2">
      <c r="A105" s="1"/>
      <c r="B105" s="4" t="s">
        <v>16</v>
      </c>
      <c r="C105" s="13">
        <f t="shared" ref="C105:P105" si="36">(100/(C$94-C$95))*C83+((C$94*0-C$95*100)/(C$94-C$95))</f>
        <v>9.4071151462840419</v>
      </c>
      <c r="D105" s="13">
        <f t="shared" si="36"/>
        <v>46.37546254700564</v>
      </c>
      <c r="E105" s="13">
        <f t="shared" si="36"/>
        <v>82.116939578299494</v>
      </c>
      <c r="F105" s="13">
        <f t="shared" si="36"/>
        <v>94.455985720531658</v>
      </c>
      <c r="G105" s="13">
        <f t="shared" si="36"/>
        <v>33.888801196541181</v>
      </c>
      <c r="H105" s="13">
        <f t="shared" si="36"/>
        <v>41.230058942740897</v>
      </c>
      <c r="I105" s="13">
        <f t="shared" si="36"/>
        <v>92.655176001432793</v>
      </c>
      <c r="J105" s="13">
        <f t="shared" si="36"/>
        <v>62.190425364474677</v>
      </c>
      <c r="K105" s="13">
        <f t="shared" si="36"/>
        <v>79.269051034245706</v>
      </c>
      <c r="L105" s="13">
        <f t="shared" si="36"/>
        <v>53.53248613023154</v>
      </c>
      <c r="M105" s="13">
        <f t="shared" si="36"/>
        <v>63.052830338556589</v>
      </c>
      <c r="N105" s="13">
        <f t="shared" si="36"/>
        <v>49.662793103862583</v>
      </c>
      <c r="O105" s="13">
        <f t="shared" si="36"/>
        <v>19.096023584068156</v>
      </c>
      <c r="P105" s="13">
        <f t="shared" si="36"/>
        <v>5.8070219020216527</v>
      </c>
      <c r="Q105" s="1"/>
      <c r="R105" s="1"/>
      <c r="S105" s="1"/>
      <c r="T105" s="1"/>
    </row>
    <row r="106" spans="1:20" x14ac:dyDescent="0.2">
      <c r="A106" s="1"/>
      <c r="B106" s="4" t="s">
        <v>17</v>
      </c>
      <c r="C106" s="13">
        <f t="shared" ref="C106:P106" si="37">(100/(C$94-C$95))*C84+((C$94*0-C$95*100)/(C$94-C$95))</f>
        <v>9.4071151462840419</v>
      </c>
      <c r="D106" s="13">
        <f t="shared" si="37"/>
        <v>8.4328755025778221</v>
      </c>
      <c r="E106" s="13">
        <f t="shared" si="37"/>
        <v>9.7640494313424853</v>
      </c>
      <c r="F106" s="13">
        <f t="shared" si="37"/>
        <v>83.671440206784808</v>
      </c>
      <c r="G106" s="13">
        <f t="shared" si="37"/>
        <v>23.356460409981352</v>
      </c>
      <c r="H106" s="13">
        <f t="shared" si="37"/>
        <v>7.7005084222839457</v>
      </c>
      <c r="I106" s="13">
        <f t="shared" si="37"/>
        <v>92.655176001432793</v>
      </c>
      <c r="J106" s="13">
        <f t="shared" si="37"/>
        <v>67.19570255181732</v>
      </c>
      <c r="K106" s="13">
        <f t="shared" si="37"/>
        <v>74.71094952480388</v>
      </c>
      <c r="L106" s="13">
        <f t="shared" si="37"/>
        <v>45.467554817291635</v>
      </c>
      <c r="M106" s="13">
        <f t="shared" si="37"/>
        <v>63.052830338556589</v>
      </c>
      <c r="N106" s="13">
        <f t="shared" si="37"/>
        <v>12.97211400025148</v>
      </c>
      <c r="O106" s="13">
        <f t="shared" si="37"/>
        <v>19.096023584068156</v>
      </c>
      <c r="P106" s="13">
        <f t="shared" si="37"/>
        <v>43.384702355265162</v>
      </c>
      <c r="Q106" s="1"/>
      <c r="R106" s="1"/>
      <c r="S106" s="1"/>
      <c r="T106" s="1"/>
    </row>
    <row r="107" spans="1:20" x14ac:dyDescent="0.2">
      <c r="A107" s="1"/>
      <c r="B107" s="4" t="s">
        <v>18</v>
      </c>
      <c r="C107" s="13">
        <f t="shared" ref="C107:P107" si="38">(100/(C$94-C$95))*C85+((C$94*0-C$95*100)/(C$94-C$95))</f>
        <v>63.052830338556589</v>
      </c>
      <c r="D107" s="13">
        <f t="shared" si="38"/>
        <v>77.994285084028832</v>
      </c>
      <c r="E107" s="13">
        <f t="shared" si="38"/>
        <v>45.94049450482099</v>
      </c>
      <c r="F107" s="13">
        <f t="shared" si="38"/>
        <v>40.533258151797412</v>
      </c>
      <c r="G107" s="13">
        <f t="shared" si="38"/>
        <v>7.5579492301416167</v>
      </c>
      <c r="H107" s="13">
        <f t="shared" si="38"/>
        <v>30.05354210258858</v>
      </c>
      <c r="I107" s="13">
        <f t="shared" si="38"/>
        <v>92.655176001432793</v>
      </c>
      <c r="J107" s="13">
        <f t="shared" si="38"/>
        <v>27.153485053076238</v>
      </c>
      <c r="K107" s="13">
        <f t="shared" si="38"/>
        <v>29.129934430385489</v>
      </c>
      <c r="L107" s="13">
        <f t="shared" si="38"/>
        <v>73.694814412581309</v>
      </c>
      <c r="M107" s="13">
        <f t="shared" si="38"/>
        <v>9.4071151462840419</v>
      </c>
      <c r="N107" s="13">
        <f t="shared" si="38"/>
        <v>22.144783776154242</v>
      </c>
      <c r="O107" s="13">
        <f t="shared" si="38"/>
        <v>6.0105205543297728</v>
      </c>
      <c r="P107" s="13">
        <f t="shared" si="38"/>
        <v>64.261191495955998</v>
      </c>
      <c r="Q107" s="1"/>
      <c r="R107" s="1"/>
      <c r="S107" s="1"/>
      <c r="T107" s="1"/>
    </row>
    <row r="108" spans="1:20" x14ac:dyDescent="0.2">
      <c r="A108" s="1" t="s">
        <v>50</v>
      </c>
      <c r="B108" s="4" t="s">
        <v>19</v>
      </c>
      <c r="C108" s="13">
        <f t="shared" ref="C108:P108" si="39">(100/(C$94-C$95))*C86+((C$94*0-C$95*100)/(C$94-C$95))</f>
        <v>56.347115939522524</v>
      </c>
      <c r="D108" s="13">
        <f t="shared" si="39"/>
        <v>71.670520576624185</v>
      </c>
      <c r="E108" s="13">
        <f t="shared" si="39"/>
        <v>9.7640494313424853</v>
      </c>
      <c r="F108" s="13">
        <f t="shared" si="39"/>
        <v>15.36931861972143</v>
      </c>
      <c r="G108" s="13">
        <f t="shared" si="39"/>
        <v>76.018164342780466</v>
      </c>
      <c r="H108" s="13">
        <f t="shared" si="39"/>
        <v>18.877025262436263</v>
      </c>
      <c r="I108" s="13">
        <f t="shared" si="39"/>
        <v>11.370233463873291</v>
      </c>
      <c r="J108" s="13">
        <f t="shared" si="39"/>
        <v>7.1323763037056978</v>
      </c>
      <c r="K108" s="13">
        <f t="shared" si="39"/>
        <v>6.3394268831762872</v>
      </c>
      <c r="L108" s="13">
        <f t="shared" si="39"/>
        <v>61.597417443171445</v>
      </c>
      <c r="M108" s="13">
        <f t="shared" si="39"/>
        <v>9.4071151462840419</v>
      </c>
      <c r="N108" s="13">
        <f t="shared" si="39"/>
        <v>22.144783776154242</v>
      </c>
      <c r="O108" s="13">
        <f t="shared" si="39"/>
        <v>40.905195300298793</v>
      </c>
      <c r="P108" s="13">
        <f t="shared" si="39"/>
        <v>64.261191495955998</v>
      </c>
      <c r="Q108" s="1"/>
      <c r="R108" s="1"/>
      <c r="S108" s="1"/>
      <c r="T108" s="1"/>
    </row>
    <row r="109" spans="1:2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">
      <c r="A110" s="1"/>
      <c r="B110" s="4" t="s">
        <v>22</v>
      </c>
      <c r="C110" s="13">
        <f t="shared" ref="C110:K110" si="40">MAX(C101:C108)</f>
        <v>89.875687934692877</v>
      </c>
      <c r="D110" s="13">
        <f t="shared" si="40"/>
        <v>90.641814098838097</v>
      </c>
      <c r="E110" s="13">
        <f t="shared" si="40"/>
        <v>89.352228592995189</v>
      </c>
      <c r="F110" s="13">
        <f t="shared" si="40"/>
        <v>94.455985720531658</v>
      </c>
      <c r="G110" s="13">
        <f t="shared" si="40"/>
        <v>91.816675522620187</v>
      </c>
      <c r="H110" s="13">
        <f t="shared" si="40"/>
        <v>91.524384723426309</v>
      </c>
      <c r="I110" s="13">
        <f t="shared" si="40"/>
        <v>92.655176001432793</v>
      </c>
      <c r="J110" s="13">
        <f t="shared" si="40"/>
        <v>92.222088488530474</v>
      </c>
      <c r="K110" s="13">
        <f t="shared" si="40"/>
        <v>92.943355562571213</v>
      </c>
      <c r="L110" s="13">
        <f t="shared" ref="L110:P110" si="41">MAX(L101:L108)</f>
        <v>93.857142694931071</v>
      </c>
      <c r="M110" s="13">
        <f t="shared" si="41"/>
        <v>89.875687934692877</v>
      </c>
      <c r="N110" s="13">
        <f t="shared" si="41"/>
        <v>86.353472207473658</v>
      </c>
      <c r="O110" s="13">
        <f t="shared" si="41"/>
        <v>93.247207419252334</v>
      </c>
      <c r="P110" s="13">
        <f t="shared" si="41"/>
        <v>93.48827629292316</v>
      </c>
      <c r="Q110" s="1"/>
      <c r="R110" s="1"/>
      <c r="S110" s="1"/>
      <c r="T110" s="1"/>
    </row>
    <row r="111" spans="1:20" x14ac:dyDescent="0.2">
      <c r="A111" s="1"/>
      <c r="B111" s="4" t="s">
        <v>26</v>
      </c>
      <c r="C111" s="13">
        <f>MIN(C101:C108)</f>
        <v>9.4071151462840419</v>
      </c>
      <c r="D111" s="13">
        <f t="shared" ref="D111:P111" si="42">MIN(D101:D108)</f>
        <v>8.4328755025778221</v>
      </c>
      <c r="E111" s="13">
        <f t="shared" si="42"/>
        <v>9.7640494313424853</v>
      </c>
      <c r="F111" s="13">
        <f t="shared" si="42"/>
        <v>4.5847731059745769</v>
      </c>
      <c r="G111" s="13">
        <f t="shared" si="42"/>
        <v>7.5579492301416167</v>
      </c>
      <c r="H111" s="13">
        <f t="shared" si="42"/>
        <v>7.7005084222839457</v>
      </c>
      <c r="I111" s="13">
        <f t="shared" si="42"/>
        <v>6.5887662557815503</v>
      </c>
      <c r="J111" s="13">
        <f t="shared" si="42"/>
        <v>7.1323763037056978</v>
      </c>
      <c r="K111" s="13">
        <f t="shared" si="42"/>
        <v>6.3394268831762872</v>
      </c>
      <c r="L111" s="13">
        <f t="shared" si="42"/>
        <v>5.1428982525921043</v>
      </c>
      <c r="M111" s="13">
        <f t="shared" si="42"/>
        <v>9.4071151462840419</v>
      </c>
      <c r="N111" s="13">
        <f t="shared" si="42"/>
        <v>12.97211400025148</v>
      </c>
      <c r="O111" s="13">
        <f t="shared" si="42"/>
        <v>6.0105205543297728</v>
      </c>
      <c r="P111" s="13">
        <f t="shared" si="42"/>
        <v>5.8070219020216527</v>
      </c>
      <c r="Q111" s="1"/>
      <c r="R111" s="1"/>
      <c r="S111" s="1"/>
      <c r="T111" s="1"/>
    </row>
    <row r="112" spans="1:2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">
      <c r="A114" s="33" t="s">
        <v>54</v>
      </c>
      <c r="B114" s="33"/>
      <c r="C114" s="33"/>
      <c r="D114" s="33"/>
      <c r="E114" s="3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3" t="s">
        <v>56</v>
      </c>
      <c r="R114" s="33"/>
      <c r="S114" s="33"/>
      <c r="T114" s="33"/>
    </row>
    <row r="115" spans="1:2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">
      <c r="A116" s="1"/>
      <c r="B116" s="4" t="s">
        <v>51</v>
      </c>
      <c r="C116" s="4" t="s">
        <v>3</v>
      </c>
      <c r="D116" s="4" t="s">
        <v>4</v>
      </c>
      <c r="E116" s="4" t="s">
        <v>5</v>
      </c>
      <c r="F116" s="4" t="s">
        <v>6</v>
      </c>
      <c r="G116" s="4" t="s">
        <v>7</v>
      </c>
      <c r="H116" s="4" t="s">
        <v>8</v>
      </c>
      <c r="I116" s="4" t="s">
        <v>9</v>
      </c>
      <c r="J116" s="4" t="s">
        <v>10</v>
      </c>
      <c r="K116" s="4" t="s">
        <v>11</v>
      </c>
      <c r="L116" s="4" t="s">
        <v>74</v>
      </c>
      <c r="M116" s="4" t="s">
        <v>75</v>
      </c>
      <c r="N116" s="4" t="s">
        <v>76</v>
      </c>
      <c r="O116" s="4" t="s">
        <v>77</v>
      </c>
      <c r="P116" s="4" t="s">
        <v>78</v>
      </c>
      <c r="Q116" s="1"/>
      <c r="R116" s="4"/>
      <c r="S116" s="4" t="s">
        <v>58</v>
      </c>
      <c r="T116" s="1"/>
    </row>
    <row r="117" spans="1:20" x14ac:dyDescent="0.2">
      <c r="A117" s="1"/>
      <c r="B117" s="4" t="s">
        <v>12</v>
      </c>
      <c r="C117" s="13">
        <f t="shared" ref="C117:P117" si="43">(C101/ C$110) *C$71*100</f>
        <v>3.9195423952762147</v>
      </c>
      <c r="D117" s="13">
        <f t="shared" si="43"/>
        <v>6.1391238353833035</v>
      </c>
      <c r="E117" s="13">
        <f t="shared" si="43"/>
        <v>4.2552974830275812</v>
      </c>
      <c r="F117" s="13">
        <f t="shared" si="43"/>
        <v>0.69823491621084699</v>
      </c>
      <c r="G117" s="13">
        <f t="shared" si="43"/>
        <v>3.3243587691657841</v>
      </c>
      <c r="H117" s="13">
        <f t="shared" si="43"/>
        <v>3.635783133854547</v>
      </c>
      <c r="I117" s="13">
        <f t="shared" si="43"/>
        <v>0.4948704466888238</v>
      </c>
      <c r="J117" s="13">
        <f t="shared" si="43"/>
        <v>4.6896701542925205</v>
      </c>
      <c r="K117" s="13">
        <f t="shared" si="43"/>
        <v>3.8634214140689447</v>
      </c>
      <c r="L117" s="13">
        <f t="shared" si="43"/>
        <v>0.74295690109424606</v>
      </c>
      <c r="M117" s="13">
        <f t="shared" si="43"/>
        <v>3.3766120395840225</v>
      </c>
      <c r="N117" s="13">
        <f t="shared" si="43"/>
        <v>2.3225381879357649</v>
      </c>
      <c r="O117" s="13">
        <f t="shared" si="43"/>
        <v>9.9278422386328682</v>
      </c>
      <c r="P117" s="13">
        <f t="shared" si="43"/>
        <v>10.700397655708018</v>
      </c>
      <c r="Q117" s="1"/>
      <c r="R117" s="4" t="s">
        <v>12</v>
      </c>
      <c r="S117" s="13">
        <f>SUM(C117:P117)</f>
        <v>58.090649570923489</v>
      </c>
      <c r="T117" s="1"/>
    </row>
    <row r="118" spans="1:20" x14ac:dyDescent="0.2">
      <c r="A118" s="1"/>
      <c r="B118" s="4" t="s">
        <v>13</v>
      </c>
      <c r="C118" s="13">
        <f t="shared" ref="C118:P118" si="44">(C102/ C$110) *C$71*100</f>
        <v>4.2355618763496254</v>
      </c>
      <c r="D118" s="13">
        <f t="shared" si="44"/>
        <v>5.7108184908496433</v>
      </c>
      <c r="E118" s="13">
        <f t="shared" si="44"/>
        <v>2.2167104597115834</v>
      </c>
      <c r="F118" s="13">
        <f t="shared" si="44"/>
        <v>1.7931849546835323</v>
      </c>
      <c r="G118" s="13">
        <f t="shared" si="44"/>
        <v>6.8713130010342862</v>
      </c>
      <c r="H118" s="13">
        <f t="shared" si="44"/>
        <v>3.9861194351917648</v>
      </c>
      <c r="I118" s="13">
        <f t="shared" si="44"/>
        <v>0.4948704466888238</v>
      </c>
      <c r="J118" s="13">
        <f t="shared" si="44"/>
        <v>2.1443906638631449</v>
      </c>
      <c r="K118" s="13">
        <f t="shared" si="44"/>
        <v>3.8634214140689447</v>
      </c>
      <c r="L118" s="13">
        <f t="shared" si="44"/>
        <v>7.1509059695574866</v>
      </c>
      <c r="M118" s="13">
        <f t="shared" si="44"/>
        <v>2.8321223635332666</v>
      </c>
      <c r="N118" s="13">
        <f t="shared" si="44"/>
        <v>1.8291272040977677</v>
      </c>
      <c r="O118" s="13">
        <f t="shared" si="44"/>
        <v>8.5346551042632761</v>
      </c>
      <c r="P118" s="13">
        <f t="shared" si="44"/>
        <v>7.8330425906446743</v>
      </c>
      <c r="Q118" s="1"/>
      <c r="R118" s="4" t="s">
        <v>13</v>
      </c>
      <c r="S118" s="13">
        <f t="shared" ref="S118:S124" si="45">SUM(C118:P118)</f>
        <v>59.496243974537812</v>
      </c>
      <c r="T118" s="1"/>
    </row>
    <row r="119" spans="1:20" x14ac:dyDescent="0.2">
      <c r="A119" s="1"/>
      <c r="B119" s="4" t="s">
        <v>14</v>
      </c>
      <c r="C119" s="13">
        <f t="shared" ref="C119:P119" si="46">(C103/ C$110) *C$71*100</f>
        <v>2.9714839520559821</v>
      </c>
      <c r="D119" s="13">
        <f t="shared" si="46"/>
        <v>4.4259024572486663</v>
      </c>
      <c r="E119" s="13">
        <f t="shared" si="46"/>
        <v>6.2938845063435807</v>
      </c>
      <c r="F119" s="13">
        <f t="shared" si="46"/>
        <v>11.100260281701363</v>
      </c>
      <c r="G119" s="13">
        <f t="shared" si="46"/>
        <v>1.7479346661131163</v>
      </c>
      <c r="H119" s="13">
        <f t="shared" si="46"/>
        <v>5.0371283392034245</v>
      </c>
      <c r="I119" s="13">
        <f t="shared" si="46"/>
        <v>5.8817821716722536</v>
      </c>
      <c r="J119" s="13">
        <f t="shared" si="46"/>
        <v>2.3989186129060829</v>
      </c>
      <c r="K119" s="13">
        <f t="shared" si="46"/>
        <v>3.6412682944173698</v>
      </c>
      <c r="L119" s="13">
        <f t="shared" si="46"/>
        <v>9.4810692671804819</v>
      </c>
      <c r="M119" s="13">
        <f t="shared" si="46"/>
        <v>2.8321223635332666</v>
      </c>
      <c r="N119" s="13">
        <f t="shared" si="46"/>
        <v>1.0890107283407706</v>
      </c>
      <c r="O119" s="13">
        <f t="shared" si="46"/>
        <v>3.8906979896979714</v>
      </c>
      <c r="P119" s="13">
        <f t="shared" si="46"/>
        <v>3.0541174822057675</v>
      </c>
      <c r="Q119" s="1"/>
      <c r="R119" s="4" t="s">
        <v>14</v>
      </c>
      <c r="S119" s="13">
        <f t="shared" si="45"/>
        <v>63.845581112620089</v>
      </c>
      <c r="T119" s="1"/>
    </row>
    <row r="120" spans="1:20" x14ac:dyDescent="0.2">
      <c r="A120" s="1"/>
      <c r="B120" s="4" t="s">
        <v>15</v>
      </c>
      <c r="C120" s="13">
        <f t="shared" ref="C120:P120" si="47">(C104/ C$110) *C$71*100</f>
        <v>3.6035229142028049</v>
      </c>
      <c r="D120" s="13">
        <f t="shared" si="47"/>
        <v>4.4259024572486663</v>
      </c>
      <c r="E120" s="13">
        <f t="shared" si="47"/>
        <v>4.7649442388565824</v>
      </c>
      <c r="F120" s="13">
        <f t="shared" si="47"/>
        <v>13.837635377883077</v>
      </c>
      <c r="G120" s="13">
        <f t="shared" si="47"/>
        <v>5.2948888979816191</v>
      </c>
      <c r="H120" s="13">
        <f t="shared" si="47"/>
        <v>5.7378009418778619</v>
      </c>
      <c r="I120" s="13">
        <f t="shared" si="47"/>
        <v>5.1635272750077954</v>
      </c>
      <c r="J120" s="13">
        <f t="shared" si="47"/>
        <v>2.3989186129060829</v>
      </c>
      <c r="K120" s="13">
        <f t="shared" si="47"/>
        <v>4.5298807730236685</v>
      </c>
      <c r="L120" s="13">
        <f t="shared" si="47"/>
        <v>13.558855038020726</v>
      </c>
      <c r="M120" s="13">
        <f t="shared" si="47"/>
        <v>3.6488568776094001</v>
      </c>
      <c r="N120" s="13">
        <f t="shared" si="47"/>
        <v>1.8291272040977677</v>
      </c>
      <c r="O120" s="13">
        <f t="shared" si="47"/>
        <v>4.8194894126110315</v>
      </c>
      <c r="P120" s="13">
        <f t="shared" si="47"/>
        <v>1.1425474388302055</v>
      </c>
      <c r="Q120" s="1"/>
      <c r="R120" s="4" t="s">
        <v>15</v>
      </c>
      <c r="S120" s="13">
        <f t="shared" si="45"/>
        <v>74.755897460157286</v>
      </c>
      <c r="T120" s="1"/>
    </row>
    <row r="121" spans="1:20" x14ac:dyDescent="0.2">
      <c r="A121" s="1"/>
      <c r="B121" s="4" t="s">
        <v>16</v>
      </c>
      <c r="C121" s="13">
        <f t="shared" ref="C121:P121" si="48">(C105/ C$110) *C$71*100</f>
        <v>0.44332810346869678</v>
      </c>
      <c r="D121" s="13">
        <f t="shared" si="48"/>
        <v>3.1409864236476874</v>
      </c>
      <c r="E121" s="13">
        <f t="shared" si="48"/>
        <v>5.7842377505145803</v>
      </c>
      <c r="F121" s="13">
        <f t="shared" si="48"/>
        <v>14.385110397119419</v>
      </c>
      <c r="G121" s="13">
        <f t="shared" si="48"/>
        <v>2.5361467176394505</v>
      </c>
      <c r="H121" s="13">
        <f t="shared" si="48"/>
        <v>2.5847742298428886</v>
      </c>
      <c r="I121" s="13">
        <f t="shared" si="48"/>
        <v>6.9591645166689391</v>
      </c>
      <c r="J121" s="13">
        <f t="shared" si="48"/>
        <v>3.1625024600348954</v>
      </c>
      <c r="K121" s="13">
        <f t="shared" si="48"/>
        <v>3.8634214140689447</v>
      </c>
      <c r="L121" s="13">
        <f t="shared" si="48"/>
        <v>7.7334467939632345</v>
      </c>
      <c r="M121" s="13">
        <f t="shared" si="48"/>
        <v>2.5598775255078889</v>
      </c>
      <c r="N121" s="13">
        <f t="shared" si="48"/>
        <v>1.3357162202597699</v>
      </c>
      <c r="O121" s="13">
        <f t="shared" si="48"/>
        <v>2.0331151438718478</v>
      </c>
      <c r="P121" s="13">
        <f t="shared" si="48"/>
        <v>0.66465492798631542</v>
      </c>
      <c r="Q121" s="1"/>
      <c r="R121" s="4" t="s">
        <v>16</v>
      </c>
      <c r="S121" s="13">
        <f t="shared" si="45"/>
        <v>57.186482624594547</v>
      </c>
      <c r="T121" s="1"/>
    </row>
    <row r="122" spans="1:20" x14ac:dyDescent="0.2">
      <c r="A122" s="1"/>
      <c r="B122" s="4" t="s">
        <v>17</v>
      </c>
      <c r="C122" s="13">
        <f t="shared" ref="C122:P122" si="49">(C106/ C$110) *C$71*100</f>
        <v>0.44332810346869678</v>
      </c>
      <c r="D122" s="13">
        <f t="shared" si="49"/>
        <v>0.57115435644573098</v>
      </c>
      <c r="E122" s="13">
        <f t="shared" si="49"/>
        <v>0.68777019222458446</v>
      </c>
      <c r="F122" s="13">
        <f t="shared" si="49"/>
        <v>12.742685339410389</v>
      </c>
      <c r="G122" s="13">
        <f t="shared" si="49"/>
        <v>1.7479346661131163</v>
      </c>
      <c r="H122" s="13">
        <f t="shared" si="49"/>
        <v>0.48275642181957257</v>
      </c>
      <c r="I122" s="13">
        <f t="shared" si="49"/>
        <v>6.9591645166689391</v>
      </c>
      <c r="J122" s="13">
        <f t="shared" si="49"/>
        <v>3.4170304090778334</v>
      </c>
      <c r="K122" s="13">
        <f t="shared" si="49"/>
        <v>3.6412682944173698</v>
      </c>
      <c r="L122" s="13">
        <f t="shared" si="49"/>
        <v>6.5683651451517377</v>
      </c>
      <c r="M122" s="13">
        <f t="shared" si="49"/>
        <v>2.5598775255078889</v>
      </c>
      <c r="N122" s="13">
        <f t="shared" si="49"/>
        <v>0.34889425258377421</v>
      </c>
      <c r="O122" s="13">
        <f t="shared" si="49"/>
        <v>2.0331151438718478</v>
      </c>
      <c r="P122" s="13">
        <f t="shared" si="49"/>
        <v>4.9656875255813313</v>
      </c>
      <c r="Q122" s="1"/>
      <c r="R122" s="4" t="s">
        <v>17</v>
      </c>
      <c r="S122" s="13">
        <f t="shared" si="45"/>
        <v>47.169031892342808</v>
      </c>
      <c r="T122" s="1"/>
    </row>
    <row r="123" spans="1:20" x14ac:dyDescent="0.2">
      <c r="A123" s="1"/>
      <c r="B123" s="4" t="s">
        <v>18</v>
      </c>
      <c r="C123" s="13">
        <f t="shared" ref="C123:P123" si="50">(C107/ C$110) *C$71*100</f>
        <v>2.9714839520559821</v>
      </c>
      <c r="D123" s="13">
        <f t="shared" si="50"/>
        <v>5.2825131463159849</v>
      </c>
      <c r="E123" s="13">
        <f t="shared" si="50"/>
        <v>3.2360039713695832</v>
      </c>
      <c r="F123" s="13">
        <f t="shared" si="50"/>
        <v>6.1729851085742764</v>
      </c>
      <c r="G123" s="13">
        <f t="shared" si="50"/>
        <v>0.56561658882361532</v>
      </c>
      <c r="H123" s="13">
        <f t="shared" si="50"/>
        <v>1.8841016271684503</v>
      </c>
      <c r="I123" s="13">
        <f t="shared" si="50"/>
        <v>6.9591645166689391</v>
      </c>
      <c r="J123" s="13">
        <f t="shared" si="50"/>
        <v>1.3808068167343324</v>
      </c>
      <c r="K123" s="13">
        <f t="shared" si="50"/>
        <v>1.4197370979016215</v>
      </c>
      <c r="L123" s="13">
        <f t="shared" si="50"/>
        <v>10.646150915991981</v>
      </c>
      <c r="M123" s="13">
        <f t="shared" si="50"/>
        <v>0.38191882130486843</v>
      </c>
      <c r="N123" s="13">
        <f t="shared" si="50"/>
        <v>0.59559974450277275</v>
      </c>
      <c r="O123" s="13">
        <f t="shared" si="50"/>
        <v>0.63992800950225615</v>
      </c>
      <c r="P123" s="13">
        <f t="shared" si="50"/>
        <v>7.3551500798007847</v>
      </c>
      <c r="Q123" s="1"/>
      <c r="R123" s="4" t="s">
        <v>18</v>
      </c>
      <c r="S123" s="13">
        <f t="shared" si="45"/>
        <v>49.491160396715451</v>
      </c>
      <c r="T123" s="1"/>
    </row>
    <row r="124" spans="1:20" x14ac:dyDescent="0.2">
      <c r="A124" s="1"/>
      <c r="B124" s="4" t="s">
        <v>19</v>
      </c>
      <c r="C124" s="13">
        <f t="shared" ref="C124:P124" si="51">(C108/ C$110) *C$71*100</f>
        <v>2.6554644709825714</v>
      </c>
      <c r="D124" s="13">
        <f t="shared" si="51"/>
        <v>4.8542078017823247</v>
      </c>
      <c r="E124" s="13">
        <f t="shared" si="51"/>
        <v>0.68777019222458446</v>
      </c>
      <c r="F124" s="13">
        <f t="shared" si="51"/>
        <v>2.3406599739198763</v>
      </c>
      <c r="G124" s="13">
        <f t="shared" si="51"/>
        <v>5.6889949237447865</v>
      </c>
      <c r="H124" s="13">
        <f t="shared" si="51"/>
        <v>1.1834290244940113</v>
      </c>
      <c r="I124" s="13">
        <f t="shared" si="51"/>
        <v>0.85399789502105272</v>
      </c>
      <c r="J124" s="13">
        <f t="shared" si="51"/>
        <v>0.36269502056258202</v>
      </c>
      <c r="K124" s="13">
        <f t="shared" si="51"/>
        <v>0.30897149964374704</v>
      </c>
      <c r="L124" s="13">
        <f t="shared" si="51"/>
        <v>8.8985284427747313</v>
      </c>
      <c r="M124" s="13">
        <f t="shared" si="51"/>
        <v>0.38191882130486843</v>
      </c>
      <c r="N124" s="13">
        <f t="shared" si="51"/>
        <v>0.59559974450277275</v>
      </c>
      <c r="O124" s="13">
        <f t="shared" si="51"/>
        <v>4.3550937011545008</v>
      </c>
      <c r="P124" s="13">
        <f t="shared" si="51"/>
        <v>7.3551500798007847</v>
      </c>
      <c r="Q124" s="1"/>
      <c r="R124" s="4" t="s">
        <v>19</v>
      </c>
      <c r="S124" s="13">
        <f t="shared" si="45"/>
        <v>40.522481591913198</v>
      </c>
      <c r="T124" s="1"/>
    </row>
    <row r="125" spans="1:2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">
      <c r="A127" s="1"/>
      <c r="B127" s="10" t="s">
        <v>52</v>
      </c>
      <c r="C127" s="10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1" x14ac:dyDescent="0.2">
      <c r="A129" s="1"/>
      <c r="B129" s="4" t="s">
        <v>52</v>
      </c>
      <c r="C129" s="4" t="s">
        <v>3</v>
      </c>
      <c r="D129" s="4" t="s">
        <v>4</v>
      </c>
      <c r="E129" s="4" t="s">
        <v>5</v>
      </c>
      <c r="F129" s="4" t="s">
        <v>6</v>
      </c>
      <c r="G129" s="4" t="s">
        <v>7</v>
      </c>
      <c r="H129" s="4" t="s">
        <v>8</v>
      </c>
      <c r="I129" s="4" t="s">
        <v>9</v>
      </c>
      <c r="J129" s="4" t="s">
        <v>10</v>
      </c>
      <c r="K129" s="4" t="s">
        <v>11</v>
      </c>
      <c r="L129" s="4" t="s">
        <v>74</v>
      </c>
      <c r="M129" s="4" t="s">
        <v>75</v>
      </c>
      <c r="N129" s="4" t="s">
        <v>76</v>
      </c>
      <c r="O129" s="4" t="s">
        <v>77</v>
      </c>
      <c r="P129" s="4" t="s">
        <v>78</v>
      </c>
      <c r="Q129" s="1"/>
      <c r="R129" s="1"/>
      <c r="S129" s="1"/>
      <c r="T129" s="1"/>
    </row>
    <row r="130" spans="1:21" x14ac:dyDescent="0.2">
      <c r="A130" s="1"/>
      <c r="B130" s="4" t="s">
        <v>12</v>
      </c>
      <c r="C130" s="13">
        <f t="shared" ref="C130:P130" si="52">(C$111/C101 ) *C$71*100</f>
        <v>0.47907215292005206</v>
      </c>
      <c r="D130" s="13">
        <f t="shared" si="52"/>
        <v>0.57115435644573098</v>
      </c>
      <c r="E130" s="13">
        <f t="shared" si="52"/>
        <v>1.0172605262105952</v>
      </c>
      <c r="F130" s="13">
        <f t="shared" si="52"/>
        <v>14.385110397119419</v>
      </c>
      <c r="G130" s="13">
        <f t="shared" si="52"/>
        <v>1.1691062518380526</v>
      </c>
      <c r="H130" s="13">
        <f t="shared" si="52"/>
        <v>0.76186069131062351</v>
      </c>
      <c r="I130" s="13">
        <f t="shared" si="52"/>
        <v>6.9591645166689391</v>
      </c>
      <c r="J130" s="13">
        <f t="shared" si="52"/>
        <v>0.36269502056258202</v>
      </c>
      <c r="K130" s="13">
        <f t="shared" si="52"/>
        <v>0.36227061602747601</v>
      </c>
      <c r="L130" s="13">
        <f t="shared" si="52"/>
        <v>13.558855038020726</v>
      </c>
      <c r="M130" s="13">
        <f t="shared" si="52"/>
        <v>0.41271164749457662</v>
      </c>
      <c r="N130" s="13">
        <f t="shared" si="52"/>
        <v>0.34889425258377421</v>
      </c>
      <c r="O130" s="13">
        <f t="shared" si="52"/>
        <v>0.63992800950225615</v>
      </c>
      <c r="P130" s="13">
        <f t="shared" si="52"/>
        <v>0.66465492798631542</v>
      </c>
      <c r="Q130" s="1"/>
      <c r="R130" s="1"/>
      <c r="S130" s="1"/>
      <c r="T130" s="1"/>
    </row>
    <row r="131" spans="1:21" x14ac:dyDescent="0.2">
      <c r="A131" s="1"/>
      <c r="B131" s="4" t="s">
        <v>13</v>
      </c>
      <c r="C131" s="13">
        <f t="shared" ref="C131:P131" si="53">(C$111/C102 ) *C$71*100</f>
        <v>0.44332810346869678</v>
      </c>
      <c r="D131" s="13">
        <f t="shared" si="53"/>
        <v>0.61399032887443872</v>
      </c>
      <c r="E131" s="13">
        <f t="shared" si="53"/>
        <v>1.9527792354669868</v>
      </c>
      <c r="F131" s="13">
        <f t="shared" si="53"/>
        <v>5.6013108556273234</v>
      </c>
      <c r="G131" s="13">
        <f t="shared" si="53"/>
        <v>0.56561658882361532</v>
      </c>
      <c r="H131" s="13">
        <f t="shared" si="53"/>
        <v>0.69490146917303097</v>
      </c>
      <c r="I131" s="13">
        <f t="shared" si="53"/>
        <v>6.9591645166689391</v>
      </c>
      <c r="J131" s="13">
        <f t="shared" si="53"/>
        <v>0.79319502817580145</v>
      </c>
      <c r="K131" s="13">
        <f t="shared" si="53"/>
        <v>0.36227061602747601</v>
      </c>
      <c r="L131" s="13">
        <f t="shared" si="53"/>
        <v>1.4087228897036335</v>
      </c>
      <c r="M131" s="13">
        <f t="shared" si="53"/>
        <v>0.49205752397935731</v>
      </c>
      <c r="N131" s="13">
        <f t="shared" si="53"/>
        <v>0.44300922503463563</v>
      </c>
      <c r="O131" s="13">
        <f t="shared" si="53"/>
        <v>0.74438911060942803</v>
      </c>
      <c r="P131" s="13">
        <f t="shared" si="53"/>
        <v>0.90795778919596204</v>
      </c>
      <c r="Q131" s="1"/>
      <c r="R131" s="1"/>
      <c r="S131" s="1"/>
      <c r="T131" s="1"/>
    </row>
    <row r="132" spans="1:21" x14ac:dyDescent="0.2">
      <c r="A132" s="1"/>
      <c r="B132" s="4" t="s">
        <v>14</v>
      </c>
      <c r="C132" s="13">
        <f t="shared" ref="C132:P132" si="54">(C$111/C103 ) *C$71*100</f>
        <v>0.63192116937639031</v>
      </c>
      <c r="D132" s="13">
        <f t="shared" si="54"/>
        <v>0.7922423409029945</v>
      </c>
      <c r="E132" s="13">
        <f t="shared" si="54"/>
        <v>0.68777019222458446</v>
      </c>
      <c r="F132" s="13">
        <f t="shared" si="54"/>
        <v>0.9048604355137666</v>
      </c>
      <c r="G132" s="13">
        <f t="shared" si="54"/>
        <v>2.2234976488147855</v>
      </c>
      <c r="H132" s="13">
        <f t="shared" si="54"/>
        <v>0.5499086116697941</v>
      </c>
      <c r="I132" s="13">
        <f t="shared" si="54"/>
        <v>0.58551723821588542</v>
      </c>
      <c r="J132" s="13">
        <f t="shared" si="54"/>
        <v>0.70903614815941374</v>
      </c>
      <c r="K132" s="13">
        <f t="shared" si="54"/>
        <v>0.38437268074816383</v>
      </c>
      <c r="L132" s="13">
        <f t="shared" si="54"/>
        <v>1.0625009308079576</v>
      </c>
      <c r="M132" s="13">
        <f t="shared" si="54"/>
        <v>0.49205752397935731</v>
      </c>
      <c r="N132" s="13">
        <f t="shared" si="54"/>
        <v>0.74408837680757767</v>
      </c>
      <c r="O132" s="13">
        <f t="shared" si="54"/>
        <v>1.6328957784034881</v>
      </c>
      <c r="P132" s="13">
        <f t="shared" si="54"/>
        <v>2.3286831874401299</v>
      </c>
      <c r="Q132" s="1"/>
      <c r="R132" s="1"/>
      <c r="S132" s="1"/>
      <c r="T132" s="1"/>
    </row>
    <row r="133" spans="1:21" x14ac:dyDescent="0.2">
      <c r="A133" s="1"/>
      <c r="B133" s="4" t="s">
        <v>15</v>
      </c>
      <c r="C133" s="13">
        <f t="shared" ref="C133:P133" si="55">(C$111/C104 ) *C$71*100</f>
        <v>0.52108552060693669</v>
      </c>
      <c r="D133" s="13">
        <f t="shared" si="55"/>
        <v>0.7922423409029945</v>
      </c>
      <c r="E133" s="13">
        <f t="shared" si="55"/>
        <v>0.90845683386339138</v>
      </c>
      <c r="F133" s="13">
        <f t="shared" si="55"/>
        <v>0.72586002438467578</v>
      </c>
      <c r="G133" s="13">
        <f t="shared" si="55"/>
        <v>0.73401514087781772</v>
      </c>
      <c r="H133" s="13">
        <f t="shared" si="55"/>
        <v>0.48275642181957257</v>
      </c>
      <c r="I133" s="13">
        <f t="shared" si="55"/>
        <v>0.66696362186636671</v>
      </c>
      <c r="J133" s="13">
        <f t="shared" si="55"/>
        <v>0.70903614815941374</v>
      </c>
      <c r="K133" s="13">
        <f t="shared" si="55"/>
        <v>0.30897149964374704</v>
      </c>
      <c r="L133" s="13">
        <f t="shared" si="55"/>
        <v>0.74295690109424606</v>
      </c>
      <c r="M133" s="13">
        <f t="shared" si="55"/>
        <v>0.38191882130486843</v>
      </c>
      <c r="N133" s="13">
        <f t="shared" si="55"/>
        <v>0.44300922503463563</v>
      </c>
      <c r="O133" s="13">
        <f t="shared" si="55"/>
        <v>1.3182110755958407</v>
      </c>
      <c r="P133" s="13">
        <f t="shared" si="55"/>
        <v>6.2247498804611823</v>
      </c>
      <c r="Q133" s="1"/>
      <c r="R133" s="1"/>
      <c r="S133" s="1"/>
      <c r="T133" s="1"/>
    </row>
    <row r="134" spans="1:21" x14ac:dyDescent="0.2">
      <c r="A134" s="1"/>
      <c r="B134" s="4" t="s">
        <v>16</v>
      </c>
      <c r="C134" s="13">
        <f t="shared" ref="C134:P134" si="56">(C$111/C105 ) *C$71*100</f>
        <v>4.2355618763496254</v>
      </c>
      <c r="D134" s="13">
        <f t="shared" si="56"/>
        <v>1.1163331674853163</v>
      </c>
      <c r="E134" s="13">
        <f t="shared" si="56"/>
        <v>0.74836933464260902</v>
      </c>
      <c r="F134" s="13">
        <f t="shared" si="56"/>
        <v>0.69823491621084699</v>
      </c>
      <c r="G134" s="13">
        <f t="shared" si="56"/>
        <v>1.5324541728413117</v>
      </c>
      <c r="H134" s="13">
        <f t="shared" si="56"/>
        <v>1.071644950585219</v>
      </c>
      <c r="I134" s="13">
        <f t="shared" si="56"/>
        <v>0.4948704466888238</v>
      </c>
      <c r="J134" s="13">
        <f t="shared" si="56"/>
        <v>0.53783990195665632</v>
      </c>
      <c r="K134" s="13">
        <f t="shared" si="56"/>
        <v>0.36227061602747601</v>
      </c>
      <c r="L134" s="13">
        <f t="shared" si="56"/>
        <v>1.3026073870835342</v>
      </c>
      <c r="M134" s="13">
        <f t="shared" si="56"/>
        <v>0.5443881997949318</v>
      </c>
      <c r="N134" s="13">
        <f t="shared" si="56"/>
        <v>0.6066559744400879</v>
      </c>
      <c r="O134" s="13">
        <f t="shared" si="56"/>
        <v>3.1248128476983128</v>
      </c>
      <c r="P134" s="13">
        <f t="shared" si="56"/>
        <v>10.700397655708018</v>
      </c>
      <c r="Q134" s="1"/>
      <c r="R134" s="1"/>
      <c r="S134" s="1"/>
      <c r="T134" s="1"/>
    </row>
    <row r="135" spans="1:21" x14ac:dyDescent="0.2">
      <c r="A135" s="1"/>
      <c r="B135" s="4" t="s">
        <v>17</v>
      </c>
      <c r="C135" s="13">
        <f t="shared" ref="C135:P135" si="57">(C$111/C106 ) *C$71*100</f>
        <v>4.2355618763496254</v>
      </c>
      <c r="D135" s="13">
        <f t="shared" si="57"/>
        <v>6.1391238353833035</v>
      </c>
      <c r="E135" s="13">
        <f t="shared" si="57"/>
        <v>6.2938845063435807</v>
      </c>
      <c r="F135" s="13">
        <f t="shared" si="57"/>
        <v>0.7882315293270209</v>
      </c>
      <c r="G135" s="13">
        <f t="shared" si="57"/>
        <v>2.2234976488147855</v>
      </c>
      <c r="H135" s="13">
        <f t="shared" si="57"/>
        <v>5.7378009418778619</v>
      </c>
      <c r="I135" s="13">
        <f t="shared" si="57"/>
        <v>0.4948704466888238</v>
      </c>
      <c r="J135" s="13">
        <f t="shared" si="57"/>
        <v>0.49777725375932086</v>
      </c>
      <c r="K135" s="13">
        <f t="shared" si="57"/>
        <v>0.38437268074816383</v>
      </c>
      <c r="L135" s="13">
        <f t="shared" si="57"/>
        <v>1.5336609184813019</v>
      </c>
      <c r="M135" s="13">
        <f t="shared" si="57"/>
        <v>0.5443881997949318</v>
      </c>
      <c r="N135" s="13">
        <f t="shared" si="57"/>
        <v>2.3225381879357649</v>
      </c>
      <c r="O135" s="13">
        <f t="shared" si="57"/>
        <v>3.1248128476983128</v>
      </c>
      <c r="P135" s="13">
        <f t="shared" si="57"/>
        <v>1.4322431680690466</v>
      </c>
      <c r="Q135" s="1"/>
      <c r="R135" s="1"/>
      <c r="S135" s="1"/>
      <c r="T135" s="1"/>
    </row>
    <row r="136" spans="1:21" x14ac:dyDescent="0.2">
      <c r="A136" s="1"/>
      <c r="B136" s="4" t="s">
        <v>18</v>
      </c>
      <c r="C136" s="13">
        <f t="shared" ref="C136:P136" si="58">(C$111/C107 ) *C$71*100</f>
        <v>0.63192116937639031</v>
      </c>
      <c r="D136" s="13">
        <f t="shared" si="58"/>
        <v>0.66377256927118988</v>
      </c>
      <c r="E136" s="13">
        <f t="shared" si="58"/>
        <v>1.3376825847760598</v>
      </c>
      <c r="F136" s="13">
        <f t="shared" si="58"/>
        <v>1.6271198093228973</v>
      </c>
      <c r="G136" s="13">
        <f t="shared" si="58"/>
        <v>6.8713130010342862</v>
      </c>
      <c r="H136" s="13">
        <f t="shared" si="58"/>
        <v>1.4701756061730098</v>
      </c>
      <c r="I136" s="13">
        <f t="shared" si="58"/>
        <v>0.4948704466888238</v>
      </c>
      <c r="J136" s="13">
        <f t="shared" si="58"/>
        <v>1.2318305445982674</v>
      </c>
      <c r="K136" s="13">
        <f t="shared" si="58"/>
        <v>0.98581917575945621</v>
      </c>
      <c r="L136" s="13">
        <f t="shared" si="58"/>
        <v>0.94622413310917719</v>
      </c>
      <c r="M136" s="13">
        <f t="shared" si="58"/>
        <v>3.6488568776094001</v>
      </c>
      <c r="N136" s="13">
        <f t="shared" si="58"/>
        <v>1.3605113713633397</v>
      </c>
      <c r="O136" s="13">
        <f t="shared" si="58"/>
        <v>9.9278422386328682</v>
      </c>
      <c r="P136" s="13">
        <f t="shared" si="58"/>
        <v>0.96695131385710398</v>
      </c>
      <c r="Q136" s="1"/>
      <c r="R136" s="1"/>
      <c r="S136" s="1"/>
      <c r="T136" s="1"/>
    </row>
    <row r="137" spans="1:21" x14ac:dyDescent="0.2">
      <c r="A137" s="1"/>
      <c r="B137" s="4" t="s">
        <v>19</v>
      </c>
      <c r="C137" s="13">
        <f t="shared" ref="C137:P137" si="59">(C$111/C108 ) *C$71*100</f>
        <v>0.70712435970630538</v>
      </c>
      <c r="D137" s="13">
        <f t="shared" si="59"/>
        <v>0.72233976511091147</v>
      </c>
      <c r="E137" s="13">
        <f t="shared" si="59"/>
        <v>6.2938845063435807</v>
      </c>
      <c r="F137" s="13">
        <f t="shared" si="59"/>
        <v>4.2911770461027618</v>
      </c>
      <c r="G137" s="13">
        <f t="shared" si="59"/>
        <v>0.68316612555984857</v>
      </c>
      <c r="H137" s="13">
        <f t="shared" si="59"/>
        <v>2.340622204190284</v>
      </c>
      <c r="I137" s="13">
        <f t="shared" si="59"/>
        <v>4.0326619925217395</v>
      </c>
      <c r="J137" s="13">
        <f t="shared" si="59"/>
        <v>4.6896701542925205</v>
      </c>
      <c r="K137" s="13">
        <f t="shared" si="59"/>
        <v>4.5298807730236685</v>
      </c>
      <c r="L137" s="13">
        <f t="shared" si="59"/>
        <v>1.1320573942327961</v>
      </c>
      <c r="M137" s="13">
        <f t="shared" si="59"/>
        <v>3.6488568776094001</v>
      </c>
      <c r="N137" s="13">
        <f t="shared" si="59"/>
        <v>1.3605113713633397</v>
      </c>
      <c r="O137" s="13">
        <f t="shared" si="59"/>
        <v>1.4587755759965846</v>
      </c>
      <c r="P137" s="13">
        <f t="shared" si="59"/>
        <v>0.96695131385710398</v>
      </c>
      <c r="Q137" s="1"/>
      <c r="R137" s="1"/>
      <c r="S137" s="1"/>
      <c r="T137" s="1"/>
    </row>
    <row r="138" spans="1:2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1" x14ac:dyDescent="0.2">
      <c r="A139" s="1"/>
      <c r="B139" s="4" t="s">
        <v>22</v>
      </c>
      <c r="C139" s="13">
        <f>MAX(C130:C137)</f>
        <v>4.2355618763496254</v>
      </c>
      <c r="D139" s="13">
        <f t="shared" ref="D139:P139" si="60">MAX(D130:D137)</f>
        <v>6.1391238353833035</v>
      </c>
      <c r="E139" s="13">
        <f t="shared" si="60"/>
        <v>6.2938845063435807</v>
      </c>
      <c r="F139" s="13">
        <f t="shared" si="60"/>
        <v>14.385110397119419</v>
      </c>
      <c r="G139" s="13">
        <f t="shared" si="60"/>
        <v>6.8713130010342862</v>
      </c>
      <c r="H139" s="13">
        <f t="shared" si="60"/>
        <v>5.7378009418778619</v>
      </c>
      <c r="I139" s="13">
        <f t="shared" si="60"/>
        <v>6.9591645166689391</v>
      </c>
      <c r="J139" s="13">
        <f t="shared" si="60"/>
        <v>4.6896701542925205</v>
      </c>
      <c r="K139" s="13">
        <f t="shared" si="60"/>
        <v>4.5298807730236685</v>
      </c>
      <c r="L139" s="13">
        <f t="shared" si="60"/>
        <v>13.558855038020726</v>
      </c>
      <c r="M139" s="13">
        <f t="shared" si="60"/>
        <v>3.6488568776094001</v>
      </c>
      <c r="N139" s="13">
        <f t="shared" si="60"/>
        <v>2.3225381879357649</v>
      </c>
      <c r="O139" s="13">
        <f t="shared" si="60"/>
        <v>9.9278422386328682</v>
      </c>
      <c r="P139" s="13">
        <f t="shared" si="60"/>
        <v>10.700397655708018</v>
      </c>
      <c r="Q139" s="1"/>
      <c r="R139" s="1"/>
      <c r="S139" s="1"/>
      <c r="T139" s="1"/>
    </row>
    <row r="140" spans="1:21" x14ac:dyDescent="0.2">
      <c r="A140" s="1"/>
      <c r="B140" s="4" t="s">
        <v>26</v>
      </c>
      <c r="C140" s="13">
        <f>MIN(C130:C137)</f>
        <v>0.44332810346869678</v>
      </c>
      <c r="D140" s="13">
        <f t="shared" ref="D140:P140" si="61">MIN(D130:D137)</f>
        <v>0.57115435644573098</v>
      </c>
      <c r="E140" s="13">
        <f t="shared" si="61"/>
        <v>0.68777019222458446</v>
      </c>
      <c r="F140" s="13">
        <f t="shared" si="61"/>
        <v>0.69823491621084699</v>
      </c>
      <c r="G140" s="13">
        <f t="shared" si="61"/>
        <v>0.56561658882361532</v>
      </c>
      <c r="H140" s="13">
        <f t="shared" si="61"/>
        <v>0.48275642181957257</v>
      </c>
      <c r="I140" s="13">
        <f t="shared" si="61"/>
        <v>0.4948704466888238</v>
      </c>
      <c r="J140" s="13">
        <f t="shared" si="61"/>
        <v>0.36269502056258202</v>
      </c>
      <c r="K140" s="13">
        <f t="shared" si="61"/>
        <v>0.30897149964374704</v>
      </c>
      <c r="L140" s="13">
        <f t="shared" si="61"/>
        <v>0.74295690109424606</v>
      </c>
      <c r="M140" s="13">
        <f t="shared" si="61"/>
        <v>0.38191882130486843</v>
      </c>
      <c r="N140" s="13">
        <f t="shared" si="61"/>
        <v>0.34889425258377421</v>
      </c>
      <c r="O140" s="13">
        <f t="shared" si="61"/>
        <v>0.63992800950225615</v>
      </c>
      <c r="P140" s="13">
        <f t="shared" si="61"/>
        <v>0.66465492798631542</v>
      </c>
      <c r="Q140" s="1"/>
      <c r="R140" s="1"/>
      <c r="S140" s="1"/>
      <c r="T140" s="1"/>
    </row>
    <row r="141" spans="1:2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0"/>
      <c r="U142" s="18"/>
    </row>
    <row r="143" spans="1:21" x14ac:dyDescent="0.2">
      <c r="A143" s="33" t="s">
        <v>55</v>
      </c>
      <c r="B143" s="34"/>
      <c r="C143" s="34"/>
      <c r="D143" s="34"/>
      <c r="E143" s="3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3" t="s">
        <v>57</v>
      </c>
      <c r="R143" s="33"/>
      <c r="S143" s="33"/>
      <c r="T143" s="33"/>
    </row>
    <row r="144" spans="1:2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">
      <c r="A145" s="1"/>
      <c r="B145" s="4" t="s">
        <v>53</v>
      </c>
      <c r="C145" s="4" t="s">
        <v>3</v>
      </c>
      <c r="D145" s="4" t="s">
        <v>4</v>
      </c>
      <c r="E145" s="4" t="s">
        <v>5</v>
      </c>
      <c r="F145" s="4" t="s">
        <v>6</v>
      </c>
      <c r="G145" s="4" t="s">
        <v>7</v>
      </c>
      <c r="H145" s="4" t="s">
        <v>8</v>
      </c>
      <c r="I145" s="4" t="s">
        <v>9</v>
      </c>
      <c r="J145" s="4" t="s">
        <v>10</v>
      </c>
      <c r="K145" s="4" t="s">
        <v>11</v>
      </c>
      <c r="L145" s="4" t="s">
        <v>74</v>
      </c>
      <c r="M145" s="4" t="s">
        <v>75</v>
      </c>
      <c r="N145" s="4" t="s">
        <v>76</v>
      </c>
      <c r="O145" s="4" t="s">
        <v>77</v>
      </c>
      <c r="P145" s="4" t="s">
        <v>78</v>
      </c>
      <c r="Q145" s="1"/>
      <c r="R145" s="4"/>
      <c r="S145" s="4" t="s">
        <v>59</v>
      </c>
      <c r="T145" s="1"/>
    </row>
    <row r="146" spans="1:20" x14ac:dyDescent="0.2">
      <c r="A146" s="1"/>
      <c r="B146" s="4" t="s">
        <v>12</v>
      </c>
      <c r="C146" s="13">
        <f t="shared" ref="C146:C153" si="62">-C130+C$139+C$140</f>
        <v>4.1998178268982702</v>
      </c>
      <c r="D146" s="13">
        <f t="shared" ref="D146:P146" si="63">-D130+D$139+D$140</f>
        <v>6.1391238353833035</v>
      </c>
      <c r="E146" s="13">
        <f t="shared" si="63"/>
        <v>5.9643941723575695</v>
      </c>
      <c r="F146" s="13">
        <f t="shared" si="63"/>
        <v>0.69823491621084699</v>
      </c>
      <c r="G146" s="13">
        <f t="shared" si="63"/>
        <v>6.2678233380198485</v>
      </c>
      <c r="H146" s="13">
        <f t="shared" si="63"/>
        <v>5.4586966723868109</v>
      </c>
      <c r="I146" s="13">
        <f t="shared" si="63"/>
        <v>0.4948704466888238</v>
      </c>
      <c r="J146" s="13">
        <f t="shared" si="63"/>
        <v>4.6896701542925205</v>
      </c>
      <c r="K146" s="13">
        <f t="shared" si="63"/>
        <v>4.4765816566399401</v>
      </c>
      <c r="L146" s="13">
        <f t="shared" si="63"/>
        <v>0.74295690109424606</v>
      </c>
      <c r="M146" s="13">
        <f t="shared" si="63"/>
        <v>3.618064051419692</v>
      </c>
      <c r="N146" s="13">
        <f t="shared" si="63"/>
        <v>2.3225381879357649</v>
      </c>
      <c r="O146" s="13">
        <f t="shared" si="63"/>
        <v>9.9278422386328682</v>
      </c>
      <c r="P146" s="13">
        <f t="shared" si="63"/>
        <v>10.700397655708018</v>
      </c>
      <c r="Q146" s="1"/>
      <c r="R146" s="4" t="s">
        <v>12</v>
      </c>
      <c r="S146" s="13">
        <f>SUM(C146:P146)</f>
        <v>65.701012053668535</v>
      </c>
      <c r="T146" s="1"/>
    </row>
    <row r="147" spans="1:20" x14ac:dyDescent="0.2">
      <c r="A147" s="1"/>
      <c r="B147" s="4" t="s">
        <v>13</v>
      </c>
      <c r="C147" s="13">
        <f t="shared" si="62"/>
        <v>4.2355618763496254</v>
      </c>
      <c r="D147" s="13">
        <f t="shared" ref="D147:P147" si="64">-D131+D$139+D$140</f>
        <v>6.0962878629545951</v>
      </c>
      <c r="E147" s="13">
        <f t="shared" si="64"/>
        <v>5.0288754631011781</v>
      </c>
      <c r="F147" s="13">
        <f t="shared" si="64"/>
        <v>9.4820344577029427</v>
      </c>
      <c r="G147" s="13">
        <f t="shared" si="64"/>
        <v>6.8713130010342862</v>
      </c>
      <c r="H147" s="13">
        <f t="shared" si="64"/>
        <v>5.5256558945244034</v>
      </c>
      <c r="I147" s="13">
        <f t="shared" si="64"/>
        <v>0.4948704466888238</v>
      </c>
      <c r="J147" s="13">
        <f t="shared" si="64"/>
        <v>4.2591701466793008</v>
      </c>
      <c r="K147" s="13">
        <f t="shared" si="64"/>
        <v>4.4765816566399401</v>
      </c>
      <c r="L147" s="13">
        <f t="shared" si="64"/>
        <v>12.893089049411337</v>
      </c>
      <c r="M147" s="13">
        <f t="shared" si="64"/>
        <v>3.5387181749349113</v>
      </c>
      <c r="N147" s="13">
        <f t="shared" si="64"/>
        <v>2.2284232154849035</v>
      </c>
      <c r="O147" s="13">
        <f t="shared" si="64"/>
        <v>9.823381137525697</v>
      </c>
      <c r="P147" s="13">
        <f t="shared" si="64"/>
        <v>10.457094794498373</v>
      </c>
      <c r="Q147" s="1"/>
      <c r="R147" s="4" t="s">
        <v>13</v>
      </c>
      <c r="S147" s="13">
        <f>SUM(C147:P147)</f>
        <v>85.411057177530324</v>
      </c>
      <c r="T147" s="1"/>
    </row>
    <row r="148" spans="1:20" x14ac:dyDescent="0.2">
      <c r="A148" s="1"/>
      <c r="B148" s="4" t="s">
        <v>14</v>
      </c>
      <c r="C148" s="13">
        <f t="shared" si="62"/>
        <v>4.0469688104419319</v>
      </c>
      <c r="D148" s="13">
        <f t="shared" ref="D148:P148" si="65">-D132+D$139+D$140</f>
        <v>5.9180358509260396</v>
      </c>
      <c r="E148" s="13">
        <f t="shared" si="65"/>
        <v>6.2938845063435807</v>
      </c>
      <c r="F148" s="13">
        <f t="shared" si="65"/>
        <v>14.1784848778165</v>
      </c>
      <c r="G148" s="13">
        <f t="shared" si="65"/>
        <v>5.2134319410431162</v>
      </c>
      <c r="H148" s="13">
        <f t="shared" si="65"/>
        <v>5.6706487520276401</v>
      </c>
      <c r="I148" s="13">
        <f t="shared" si="65"/>
        <v>6.868517725141877</v>
      </c>
      <c r="J148" s="13">
        <f t="shared" si="65"/>
        <v>4.343329026695689</v>
      </c>
      <c r="K148" s="13">
        <f t="shared" si="65"/>
        <v>4.4544795919192524</v>
      </c>
      <c r="L148" s="13">
        <f t="shared" si="65"/>
        <v>13.239311008307014</v>
      </c>
      <c r="M148" s="13">
        <f t="shared" si="65"/>
        <v>3.5387181749349113</v>
      </c>
      <c r="N148" s="13">
        <f t="shared" si="65"/>
        <v>1.9273440637119614</v>
      </c>
      <c r="O148" s="13">
        <f t="shared" si="65"/>
        <v>8.9348744697316356</v>
      </c>
      <c r="P148" s="13">
        <f t="shared" si="65"/>
        <v>9.0363693962542051</v>
      </c>
      <c r="Q148" s="1"/>
      <c r="R148" s="4" t="s">
        <v>14</v>
      </c>
      <c r="S148" s="13">
        <f t="shared" ref="S148:S153" si="66">SUM(C148:P148)</f>
        <v>93.664398195295362</v>
      </c>
      <c r="T148" s="1"/>
    </row>
    <row r="149" spans="1:20" x14ac:dyDescent="0.2">
      <c r="A149" s="1"/>
      <c r="B149" s="4" t="s">
        <v>15</v>
      </c>
      <c r="C149" s="13">
        <f t="shared" si="62"/>
        <v>4.1578044592113859</v>
      </c>
      <c r="D149" s="13">
        <f t="shared" ref="D149:P149" si="67">-D133+D$139+D$140</f>
        <v>5.9180358509260396</v>
      </c>
      <c r="E149" s="13">
        <f t="shared" si="67"/>
        <v>6.0731978647047731</v>
      </c>
      <c r="F149" s="13">
        <f t="shared" si="67"/>
        <v>14.35748528894559</v>
      </c>
      <c r="G149" s="13">
        <f t="shared" si="67"/>
        <v>6.702914448980084</v>
      </c>
      <c r="H149" s="13">
        <f t="shared" si="67"/>
        <v>5.7378009418778619</v>
      </c>
      <c r="I149" s="13">
        <f t="shared" si="67"/>
        <v>6.7870713414913961</v>
      </c>
      <c r="J149" s="13">
        <f t="shared" si="67"/>
        <v>4.343329026695689</v>
      </c>
      <c r="K149" s="13">
        <f t="shared" si="67"/>
        <v>4.5298807730236685</v>
      </c>
      <c r="L149" s="13">
        <f t="shared" si="67"/>
        <v>13.558855038020726</v>
      </c>
      <c r="M149" s="13">
        <f t="shared" si="67"/>
        <v>3.6488568776094001</v>
      </c>
      <c r="N149" s="13">
        <f t="shared" si="67"/>
        <v>2.2284232154849035</v>
      </c>
      <c r="O149" s="13">
        <f t="shared" si="67"/>
        <v>9.2495591725392838</v>
      </c>
      <c r="P149" s="13">
        <f t="shared" si="67"/>
        <v>5.1403027032331519</v>
      </c>
      <c r="Q149" s="1"/>
      <c r="R149" s="4" t="s">
        <v>15</v>
      </c>
      <c r="S149" s="13">
        <f t="shared" si="66"/>
        <v>92.433517002743969</v>
      </c>
      <c r="T149" s="1"/>
    </row>
    <row r="150" spans="1:20" x14ac:dyDescent="0.2">
      <c r="A150" s="1"/>
      <c r="B150" s="4" t="s">
        <v>16</v>
      </c>
      <c r="C150" s="13">
        <f t="shared" si="62"/>
        <v>0.44332810346869678</v>
      </c>
      <c r="D150" s="13">
        <f t="shared" ref="D150:P150" si="68">-D134+D$139+D$140</f>
        <v>5.5939450243437179</v>
      </c>
      <c r="E150" s="13">
        <f t="shared" si="68"/>
        <v>6.2332853639255559</v>
      </c>
      <c r="F150" s="13">
        <f t="shared" si="68"/>
        <v>14.385110397119419</v>
      </c>
      <c r="G150" s="13">
        <f t="shared" si="68"/>
        <v>5.9044754170165898</v>
      </c>
      <c r="H150" s="13">
        <f t="shared" si="68"/>
        <v>5.1489124131122148</v>
      </c>
      <c r="I150" s="13">
        <f t="shared" si="68"/>
        <v>6.9591645166689391</v>
      </c>
      <c r="J150" s="13">
        <f t="shared" si="68"/>
        <v>4.5145252728984469</v>
      </c>
      <c r="K150" s="13">
        <f t="shared" si="68"/>
        <v>4.4765816566399401</v>
      </c>
      <c r="L150" s="13">
        <f t="shared" si="68"/>
        <v>12.999204552031436</v>
      </c>
      <c r="M150" s="13">
        <f t="shared" si="68"/>
        <v>3.4863874991193367</v>
      </c>
      <c r="N150" s="13">
        <f t="shared" si="68"/>
        <v>2.0647764660794512</v>
      </c>
      <c r="O150" s="13">
        <f t="shared" si="68"/>
        <v>7.4429574004368115</v>
      </c>
      <c r="P150" s="13">
        <f t="shared" si="68"/>
        <v>0.66465492798631542</v>
      </c>
      <c r="Q150" s="1"/>
      <c r="R150" s="4" t="s">
        <v>16</v>
      </c>
      <c r="S150" s="13">
        <f t="shared" si="66"/>
        <v>80.317309010846884</v>
      </c>
      <c r="T150" s="1"/>
    </row>
    <row r="151" spans="1:20" x14ac:dyDescent="0.2">
      <c r="A151" s="1"/>
      <c r="B151" s="4" t="s">
        <v>17</v>
      </c>
      <c r="C151" s="13">
        <f t="shared" si="62"/>
        <v>0.44332810346869678</v>
      </c>
      <c r="D151" s="13">
        <f t="shared" ref="D151:P151" si="69">-D135+D$139+D$140</f>
        <v>0.57115435644573098</v>
      </c>
      <c r="E151" s="13">
        <f t="shared" si="69"/>
        <v>0.68777019222458446</v>
      </c>
      <c r="F151" s="13">
        <f t="shared" si="69"/>
        <v>14.295113784003245</v>
      </c>
      <c r="G151" s="13">
        <f t="shared" si="69"/>
        <v>5.2134319410431162</v>
      </c>
      <c r="H151" s="13">
        <f t="shared" si="69"/>
        <v>0.48275642181957257</v>
      </c>
      <c r="I151" s="13">
        <f t="shared" si="69"/>
        <v>6.9591645166689391</v>
      </c>
      <c r="J151" s="13">
        <f t="shared" si="69"/>
        <v>4.5545879210957816</v>
      </c>
      <c r="K151" s="13">
        <f t="shared" si="69"/>
        <v>4.4544795919192524</v>
      </c>
      <c r="L151" s="13">
        <f t="shared" si="69"/>
        <v>12.76815102063367</v>
      </c>
      <c r="M151" s="13">
        <f t="shared" si="69"/>
        <v>3.4863874991193367</v>
      </c>
      <c r="N151" s="13">
        <f t="shared" si="69"/>
        <v>0.34889425258377421</v>
      </c>
      <c r="O151" s="13">
        <f t="shared" si="69"/>
        <v>7.4429574004368115</v>
      </c>
      <c r="P151" s="13">
        <f t="shared" si="69"/>
        <v>9.9328094156252877</v>
      </c>
      <c r="Q151" s="1"/>
      <c r="R151" s="4" t="s">
        <v>17</v>
      </c>
      <c r="S151" s="13">
        <f t="shared" si="66"/>
        <v>71.640986417087802</v>
      </c>
      <c r="T151" s="1"/>
    </row>
    <row r="152" spans="1:20" x14ac:dyDescent="0.2">
      <c r="A152" s="1"/>
      <c r="B152" s="4" t="s">
        <v>18</v>
      </c>
      <c r="C152" s="13">
        <f t="shared" si="62"/>
        <v>4.0469688104419319</v>
      </c>
      <c r="D152" s="13">
        <f t="shared" ref="D152:P152" si="70">-D136+D$139+D$140</f>
        <v>6.0465056225578442</v>
      </c>
      <c r="E152" s="13">
        <f t="shared" si="70"/>
        <v>5.6439721137921053</v>
      </c>
      <c r="F152" s="13">
        <f t="shared" si="70"/>
        <v>13.456225504007369</v>
      </c>
      <c r="G152" s="13">
        <f t="shared" si="70"/>
        <v>0.56561658882361532</v>
      </c>
      <c r="H152" s="13">
        <f t="shared" si="70"/>
        <v>4.7503817575244245</v>
      </c>
      <c r="I152" s="13">
        <f t="shared" si="70"/>
        <v>6.9591645166689391</v>
      </c>
      <c r="J152" s="13">
        <f t="shared" si="70"/>
        <v>3.820534630256835</v>
      </c>
      <c r="K152" s="13">
        <f t="shared" si="70"/>
        <v>3.8530330969079594</v>
      </c>
      <c r="L152" s="13">
        <f t="shared" si="70"/>
        <v>13.355587806005794</v>
      </c>
      <c r="M152" s="13">
        <f t="shared" si="70"/>
        <v>0.38191882130486843</v>
      </c>
      <c r="N152" s="13">
        <f t="shared" si="70"/>
        <v>1.3109210691561994</v>
      </c>
      <c r="O152" s="13">
        <f t="shared" si="70"/>
        <v>0.63992800950225615</v>
      </c>
      <c r="P152" s="13">
        <f t="shared" si="70"/>
        <v>10.39810126983723</v>
      </c>
      <c r="Q152" s="1"/>
      <c r="R152" s="4" t="s">
        <v>18</v>
      </c>
      <c r="S152" s="13">
        <f t="shared" si="66"/>
        <v>75.228859616787375</v>
      </c>
      <c r="T152" s="1"/>
    </row>
    <row r="153" spans="1:20" x14ac:dyDescent="0.2">
      <c r="A153" s="1"/>
      <c r="B153" s="4" t="s">
        <v>19</v>
      </c>
      <c r="C153" s="13">
        <f t="shared" si="62"/>
        <v>3.9717656201120168</v>
      </c>
      <c r="D153" s="13">
        <f t="shared" ref="D153:P153" si="71">-D137+D$139+D$140</f>
        <v>5.9879384267181228</v>
      </c>
      <c r="E153" s="13">
        <f t="shared" si="71"/>
        <v>0.68777019222458446</v>
      </c>
      <c r="F153" s="13">
        <f t="shared" si="71"/>
        <v>10.792168267227504</v>
      </c>
      <c r="G153" s="13">
        <f t="shared" si="71"/>
        <v>6.7537634642980526</v>
      </c>
      <c r="H153" s="13">
        <f t="shared" si="71"/>
        <v>3.8799351595071503</v>
      </c>
      <c r="I153" s="13">
        <f t="shared" si="71"/>
        <v>3.4213729708360234</v>
      </c>
      <c r="J153" s="13">
        <f t="shared" si="71"/>
        <v>0.36269502056258202</v>
      </c>
      <c r="K153" s="13">
        <f t="shared" si="71"/>
        <v>0.30897149964374704</v>
      </c>
      <c r="L153" s="13">
        <f t="shared" si="71"/>
        <v>13.169754544882176</v>
      </c>
      <c r="M153" s="13">
        <f t="shared" si="71"/>
        <v>0.38191882130486843</v>
      </c>
      <c r="N153" s="13">
        <f t="shared" si="71"/>
        <v>1.3109210691561994</v>
      </c>
      <c r="O153" s="13">
        <f t="shared" si="71"/>
        <v>9.1089946721385395</v>
      </c>
      <c r="P153" s="13">
        <f t="shared" si="71"/>
        <v>10.39810126983723</v>
      </c>
      <c r="Q153" s="1"/>
      <c r="R153" s="4" t="s">
        <v>19</v>
      </c>
      <c r="S153" s="13">
        <f t="shared" si="66"/>
        <v>70.536070998448807</v>
      </c>
      <c r="T153" s="1"/>
    </row>
    <row r="154" spans="1:2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">
      <c r="A156" s="1"/>
      <c r="B156" s="33" t="s">
        <v>60</v>
      </c>
      <c r="C156" s="33"/>
      <c r="D156" s="33"/>
      <c r="E156" s="33"/>
      <c r="F156" s="10" t="s">
        <v>61</v>
      </c>
      <c r="G156" s="1">
        <v>0.5</v>
      </c>
      <c r="H156" s="1"/>
      <c r="I156" s="1"/>
      <c r="J156" s="35" t="s">
        <v>94</v>
      </c>
      <c r="K156" s="36"/>
      <c r="L156" s="36"/>
      <c r="M156" s="36"/>
      <c r="N156" s="36"/>
      <c r="O156" s="37"/>
      <c r="P156" s="1"/>
      <c r="Q156" s="1"/>
      <c r="R156" s="1"/>
      <c r="S156" s="1"/>
      <c r="T156" s="1"/>
    </row>
    <row r="157" spans="1:20" x14ac:dyDescent="0.2">
      <c r="A157" s="1"/>
      <c r="B157" s="1"/>
      <c r="C157" s="1"/>
      <c r="D157" s="1"/>
      <c r="E157" s="1"/>
      <c r="F157" s="1"/>
      <c r="G157" s="1"/>
      <c r="H157" s="1"/>
      <c r="I157" s="5"/>
      <c r="J157" s="12">
        <v>1</v>
      </c>
      <c r="K157" s="40" t="s">
        <v>82</v>
      </c>
      <c r="L157" s="41"/>
      <c r="M157" s="12">
        <v>1</v>
      </c>
      <c r="N157" s="40" t="s">
        <v>69</v>
      </c>
      <c r="O157" s="41"/>
      <c r="P157" s="1"/>
      <c r="Q157" s="1"/>
      <c r="R157" s="1"/>
      <c r="S157" s="1"/>
      <c r="T157" s="1"/>
    </row>
    <row r="158" spans="1:20" x14ac:dyDescent="0.2">
      <c r="A158" s="1"/>
      <c r="B158" s="4"/>
      <c r="C158" s="4" t="s">
        <v>63</v>
      </c>
      <c r="D158" s="11" t="s">
        <v>64</v>
      </c>
      <c r="E158" s="4" t="s">
        <v>62</v>
      </c>
      <c r="F158" s="25" t="s">
        <v>96</v>
      </c>
      <c r="G158" s="1"/>
      <c r="H158" s="1"/>
      <c r="I158" s="5"/>
      <c r="J158" s="12">
        <v>2</v>
      </c>
      <c r="K158" s="40" t="s">
        <v>89</v>
      </c>
      <c r="L158" s="41"/>
      <c r="M158" s="12">
        <v>2</v>
      </c>
      <c r="N158" s="40" t="s">
        <v>68</v>
      </c>
      <c r="O158" s="41"/>
      <c r="P158" s="1"/>
      <c r="Q158" s="1"/>
      <c r="R158" s="1"/>
      <c r="S158" s="1"/>
      <c r="T158" s="1"/>
    </row>
    <row r="159" spans="1:20" x14ac:dyDescent="0.2">
      <c r="A159" s="1"/>
      <c r="B159" s="4" t="s">
        <v>12</v>
      </c>
      <c r="C159" s="24">
        <f t="shared" ref="C159:C166" si="72">S117/(S117+S146)</f>
        <v>0.46926140911726322</v>
      </c>
      <c r="D159" s="13">
        <f t="shared" ref="D159:D166" si="73">S146/(S117+S146)</f>
        <v>0.53073859088273678</v>
      </c>
      <c r="E159" s="13">
        <f t="shared" ref="E159:E166" si="74">($S117+$S146)*($G$156*$C159+$G$156*$D159)</f>
        <v>61.895830812296012</v>
      </c>
      <c r="F159" s="17">
        <v>6</v>
      </c>
      <c r="G159" s="5"/>
      <c r="H159" s="5"/>
      <c r="I159" s="5"/>
      <c r="J159" s="12">
        <v>3</v>
      </c>
      <c r="K159" s="40" t="s">
        <v>93</v>
      </c>
      <c r="L159" s="41"/>
      <c r="M159" s="12">
        <v>3</v>
      </c>
      <c r="N159" s="40" t="s">
        <v>67</v>
      </c>
      <c r="O159" s="41"/>
      <c r="P159" s="5"/>
      <c r="Q159" s="5"/>
      <c r="R159" s="1"/>
      <c r="S159" s="1"/>
      <c r="T159" s="1"/>
    </row>
    <row r="160" spans="1:20" x14ac:dyDescent="0.2">
      <c r="A160" s="1"/>
      <c r="B160" s="4" t="s">
        <v>13</v>
      </c>
      <c r="C160" s="24">
        <f t="shared" si="72"/>
        <v>0.41058140964271678</v>
      </c>
      <c r="D160" s="13">
        <f t="shared" si="73"/>
        <v>0.58941859035728328</v>
      </c>
      <c r="E160" s="13">
        <f t="shared" si="74"/>
        <v>72.453650576034065</v>
      </c>
      <c r="F160" s="17">
        <v>3</v>
      </c>
      <c r="G160" s="5"/>
      <c r="H160" s="5"/>
      <c r="I160" s="5"/>
      <c r="J160" s="12">
        <v>4</v>
      </c>
      <c r="K160" s="40" t="s">
        <v>92</v>
      </c>
      <c r="L160" s="41"/>
      <c r="M160" s="12">
        <v>4</v>
      </c>
      <c r="N160" s="40" t="s">
        <v>70</v>
      </c>
      <c r="O160" s="41"/>
      <c r="P160" s="5"/>
      <c r="Q160" s="5"/>
      <c r="R160" s="1"/>
      <c r="S160" s="1"/>
      <c r="T160" s="1"/>
    </row>
    <row r="161" spans="1:20" x14ac:dyDescent="0.2">
      <c r="A161" s="1"/>
      <c r="B161" s="4" t="s">
        <v>14</v>
      </c>
      <c r="C161" s="24">
        <f t="shared" si="72"/>
        <v>0.40534308615334586</v>
      </c>
      <c r="D161" s="13">
        <f t="shared" si="73"/>
        <v>0.5946569138466542</v>
      </c>
      <c r="E161" s="13">
        <f t="shared" si="74"/>
        <v>78.754989653957722</v>
      </c>
      <c r="F161" s="17">
        <v>2</v>
      </c>
      <c r="G161" s="5"/>
      <c r="H161" s="5"/>
      <c r="I161" s="5"/>
      <c r="J161" s="12">
        <v>5</v>
      </c>
      <c r="K161" s="40" t="s">
        <v>86</v>
      </c>
      <c r="L161" s="41"/>
      <c r="M161" s="12">
        <v>5</v>
      </c>
      <c r="N161" s="40" t="s">
        <v>72</v>
      </c>
      <c r="O161" s="41"/>
      <c r="P161" s="5"/>
      <c r="Q161" s="5"/>
      <c r="R161" s="1"/>
      <c r="S161" s="1"/>
      <c r="T161" s="1"/>
    </row>
    <row r="162" spans="1:20" x14ac:dyDescent="0.2">
      <c r="A162" s="1"/>
      <c r="B162" s="4" t="s">
        <v>15</v>
      </c>
      <c r="C162" s="24">
        <f t="shared" si="72"/>
        <v>0.44713295814996323</v>
      </c>
      <c r="D162" s="13">
        <f t="shared" si="73"/>
        <v>0.55286704185003677</v>
      </c>
      <c r="E162" s="13">
        <f t="shared" si="74"/>
        <v>83.594707231450627</v>
      </c>
      <c r="F162" s="17">
        <v>1</v>
      </c>
      <c r="G162" s="5"/>
      <c r="H162" s="5"/>
      <c r="I162" s="5"/>
      <c r="J162" s="12">
        <v>6</v>
      </c>
      <c r="K162" s="40" t="s">
        <v>95</v>
      </c>
      <c r="L162" s="41"/>
      <c r="M162" s="12">
        <v>6</v>
      </c>
      <c r="N162" s="40" t="s">
        <v>66</v>
      </c>
      <c r="O162" s="41"/>
      <c r="P162" s="5"/>
      <c r="Q162" s="5"/>
      <c r="R162" s="1"/>
      <c r="S162" s="1"/>
      <c r="T162" s="1"/>
    </row>
    <row r="163" spans="1:20" x14ac:dyDescent="0.2">
      <c r="A163" s="1"/>
      <c r="B163" s="4" t="s">
        <v>16</v>
      </c>
      <c r="C163" s="24">
        <f t="shared" si="72"/>
        <v>0.41589022342169951</v>
      </c>
      <c r="D163" s="13">
        <f t="shared" si="73"/>
        <v>0.58410977657830054</v>
      </c>
      <c r="E163" s="13">
        <f t="shared" si="74"/>
        <v>68.751895817720708</v>
      </c>
      <c r="F163" s="17">
        <v>4</v>
      </c>
      <c r="G163" s="5"/>
      <c r="H163" s="5"/>
      <c r="I163" s="5"/>
      <c r="J163" s="12">
        <v>7</v>
      </c>
      <c r="K163" s="40" t="s">
        <v>81</v>
      </c>
      <c r="L163" s="41"/>
      <c r="M163" s="12">
        <v>7</v>
      </c>
      <c r="N163" s="40" t="s">
        <v>71</v>
      </c>
      <c r="O163" s="41"/>
      <c r="P163" s="5"/>
      <c r="Q163" s="5"/>
      <c r="R163" s="1"/>
      <c r="S163" s="1"/>
      <c r="T163" s="1"/>
    </row>
    <row r="164" spans="1:20" x14ac:dyDescent="0.2">
      <c r="A164" s="1"/>
      <c r="B164" s="4" t="s">
        <v>17</v>
      </c>
      <c r="C164" s="24">
        <f t="shared" si="72"/>
        <v>0.39701224327308049</v>
      </c>
      <c r="D164" s="13">
        <f t="shared" si="73"/>
        <v>0.60298775672691962</v>
      </c>
      <c r="E164" s="13">
        <f t="shared" si="74"/>
        <v>59.405009154715302</v>
      </c>
      <c r="F164" s="17">
        <v>7</v>
      </c>
      <c r="G164" s="5"/>
      <c r="H164" s="5"/>
      <c r="I164" s="5"/>
      <c r="J164" s="12">
        <v>8</v>
      </c>
      <c r="K164" s="40" t="s">
        <v>80</v>
      </c>
      <c r="L164" s="41"/>
      <c r="M164" s="12">
        <v>8</v>
      </c>
      <c r="N164" s="40" t="s">
        <v>73</v>
      </c>
      <c r="O164" s="41"/>
      <c r="P164" s="5"/>
      <c r="Q164" s="5"/>
      <c r="R164" s="1"/>
      <c r="S164" s="1"/>
      <c r="T164" s="1"/>
    </row>
    <row r="165" spans="1:20" x14ac:dyDescent="0.2">
      <c r="A165" s="1"/>
      <c r="B165" s="4" t="s">
        <v>18</v>
      </c>
      <c r="C165" s="24">
        <f t="shared" si="72"/>
        <v>0.39681809216641634</v>
      </c>
      <c r="D165" s="13">
        <f t="shared" si="73"/>
        <v>0.60318190783358372</v>
      </c>
      <c r="E165" s="13">
        <f t="shared" si="74"/>
        <v>62.360010006751409</v>
      </c>
      <c r="F165" s="17">
        <v>5</v>
      </c>
      <c r="G165" s="5"/>
      <c r="H165" s="5"/>
      <c r="I165" s="5"/>
      <c r="J165" s="12">
        <v>9</v>
      </c>
      <c r="K165" s="40" t="s">
        <v>84</v>
      </c>
      <c r="L165" s="41"/>
      <c r="M165" s="32"/>
      <c r="N165" s="5"/>
      <c r="O165" s="5"/>
      <c r="P165" s="5"/>
      <c r="Q165" s="5"/>
      <c r="R165" s="1"/>
      <c r="S165" s="1"/>
      <c r="T165" s="1"/>
    </row>
    <row r="166" spans="1:20" x14ac:dyDescent="0.2">
      <c r="A166" s="1"/>
      <c r="B166" s="4" t="s">
        <v>19</v>
      </c>
      <c r="C166" s="24">
        <f t="shared" si="72"/>
        <v>0.36487492990638759</v>
      </c>
      <c r="D166" s="13">
        <f t="shared" si="73"/>
        <v>0.6351250700936123</v>
      </c>
      <c r="E166" s="13">
        <f t="shared" si="74"/>
        <v>55.529276295180999</v>
      </c>
      <c r="F166" s="17">
        <v>8</v>
      </c>
      <c r="G166" s="5"/>
      <c r="H166" s="5"/>
      <c r="I166" s="5"/>
      <c r="J166" s="12">
        <v>10</v>
      </c>
      <c r="K166" s="40" t="s">
        <v>87</v>
      </c>
      <c r="L166" s="41"/>
      <c r="M166" s="32"/>
      <c r="N166" s="5"/>
      <c r="O166" s="5"/>
      <c r="P166" s="5"/>
      <c r="Q166" s="5"/>
      <c r="R166" s="1"/>
      <c r="S166" s="1"/>
      <c r="T166" s="1"/>
    </row>
    <row r="167" spans="1:20" x14ac:dyDescent="0.2">
      <c r="A167" s="1"/>
      <c r="B167" s="1"/>
      <c r="C167" s="1"/>
      <c r="D167" s="1"/>
      <c r="E167" s="1"/>
      <c r="F167" s="5"/>
      <c r="G167" s="5"/>
      <c r="H167" s="5"/>
      <c r="I167" s="5"/>
      <c r="J167" s="12">
        <v>11</v>
      </c>
      <c r="K167" s="40" t="s">
        <v>88</v>
      </c>
      <c r="L167" s="41"/>
      <c r="M167" s="32"/>
      <c r="N167" s="5"/>
      <c r="O167" s="5"/>
      <c r="P167" s="5"/>
      <c r="Q167" s="5"/>
      <c r="R167" s="1"/>
      <c r="S167" s="1"/>
      <c r="T167" s="1"/>
    </row>
    <row r="168" spans="1:20" x14ac:dyDescent="0.2">
      <c r="A168" s="1"/>
      <c r="B168" s="1"/>
      <c r="C168" s="1"/>
      <c r="D168" s="1"/>
      <c r="E168" s="1"/>
      <c r="F168" s="5"/>
      <c r="G168" s="5"/>
      <c r="H168" s="5"/>
      <c r="I168" s="5"/>
      <c r="J168" s="12">
        <v>12</v>
      </c>
      <c r="K168" s="40" t="s">
        <v>79</v>
      </c>
      <c r="L168" s="41"/>
      <c r="M168" s="32"/>
      <c r="N168" s="5"/>
      <c r="O168" s="5"/>
      <c r="P168" s="5"/>
      <c r="Q168" s="5"/>
      <c r="R168" s="1"/>
      <c r="S168" s="1"/>
      <c r="T168" s="1"/>
    </row>
    <row r="169" spans="1:20" x14ac:dyDescent="0.2">
      <c r="A169" s="1"/>
      <c r="B169" s="1"/>
      <c r="C169" s="1"/>
      <c r="D169" s="1"/>
      <c r="E169" s="1"/>
      <c r="F169" s="5"/>
      <c r="G169" s="5"/>
      <c r="H169" s="5"/>
      <c r="I169" s="5"/>
      <c r="J169" s="12">
        <v>13</v>
      </c>
      <c r="K169" s="39" t="s">
        <v>90</v>
      </c>
      <c r="L169" s="39"/>
      <c r="M169" s="32"/>
      <c r="N169" s="5"/>
      <c r="O169" s="5"/>
      <c r="P169" s="5"/>
      <c r="Q169" s="5"/>
      <c r="R169" s="1"/>
      <c r="S169" s="1"/>
      <c r="T169" s="1"/>
    </row>
    <row r="170" spans="1:20" x14ac:dyDescent="0.2">
      <c r="A170" s="1"/>
      <c r="B170" s="1"/>
      <c r="C170" s="1"/>
      <c r="D170" s="1"/>
      <c r="E170" s="1"/>
      <c r="F170" s="5"/>
      <c r="G170" s="5"/>
      <c r="H170" s="5"/>
      <c r="I170" s="5"/>
      <c r="J170" s="12">
        <v>14</v>
      </c>
      <c r="K170" s="39" t="s">
        <v>91</v>
      </c>
      <c r="L170" s="39"/>
      <c r="M170" s="32"/>
      <c r="N170" s="5"/>
      <c r="O170" s="5"/>
      <c r="P170" s="5"/>
      <c r="Q170" s="5"/>
      <c r="R170" s="1"/>
      <c r="S170" s="1"/>
      <c r="T170" s="1"/>
    </row>
    <row r="171" spans="1:20" x14ac:dyDescent="0.2">
      <c r="A171" s="1"/>
      <c r="B171" s="1"/>
      <c r="C171" s="1"/>
      <c r="D171" s="1"/>
      <c r="E171" s="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1"/>
      <c r="S171" s="1"/>
      <c r="T171" s="1"/>
    </row>
    <row r="172" spans="1:20" x14ac:dyDescent="0.2">
      <c r="A172" s="1"/>
      <c r="B172" s="1"/>
      <c r="C172" s="1"/>
      <c r="D172" s="1"/>
      <c r="E172" s="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1"/>
      <c r="S172" s="1"/>
      <c r="T172" s="1"/>
    </row>
    <row r="173" spans="1:2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</sheetData>
  <sortState xmlns:xlrd2="http://schemas.microsoft.com/office/spreadsheetml/2017/richdata2" ref="H159:H166">
    <sortCondition ref="H159:H166"/>
  </sortState>
  <mergeCells count="39">
    <mergeCell ref="N159:O159"/>
    <mergeCell ref="N158:O158"/>
    <mergeCell ref="N157:O157"/>
    <mergeCell ref="K164:L164"/>
    <mergeCell ref="K163:L163"/>
    <mergeCell ref="K162:L162"/>
    <mergeCell ref="K161:L161"/>
    <mergeCell ref="K160:L160"/>
    <mergeCell ref="K159:L159"/>
    <mergeCell ref="N164:O164"/>
    <mergeCell ref="N163:O163"/>
    <mergeCell ref="N162:O162"/>
    <mergeCell ref="N161:O161"/>
    <mergeCell ref="N160:O160"/>
    <mergeCell ref="K170:L170"/>
    <mergeCell ref="K169:L169"/>
    <mergeCell ref="A88:B88"/>
    <mergeCell ref="A98:C98"/>
    <mergeCell ref="A28:C28"/>
    <mergeCell ref="A39:B39"/>
    <mergeCell ref="A46:B46"/>
    <mergeCell ref="A62:B62"/>
    <mergeCell ref="K158:L158"/>
    <mergeCell ref="K157:L157"/>
    <mergeCell ref="K166:L166"/>
    <mergeCell ref="K167:L167"/>
    <mergeCell ref="K168:L168"/>
    <mergeCell ref="K165:L165"/>
    <mergeCell ref="A2:B2"/>
    <mergeCell ref="A15:C15"/>
    <mergeCell ref="A68:B68"/>
    <mergeCell ref="A76:B76"/>
    <mergeCell ref="A99:C99"/>
    <mergeCell ref="Q114:T114"/>
    <mergeCell ref="A143:E143"/>
    <mergeCell ref="A114:E114"/>
    <mergeCell ref="J156:O156"/>
    <mergeCell ref="B156:E156"/>
    <mergeCell ref="Q143:T14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Öykü ODABAŞ</dc:creator>
  <cp:lastModifiedBy>Öykü ODABAŞ</cp:lastModifiedBy>
  <dcterms:created xsi:type="dcterms:W3CDTF">2025-05-21T13:34:50Z</dcterms:created>
  <dcterms:modified xsi:type="dcterms:W3CDTF">2025-05-31T22:55:49Z</dcterms:modified>
</cp:coreProperties>
</file>